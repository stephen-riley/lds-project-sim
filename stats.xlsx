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phen/Projects/tmp/potus-battle-royale/"/>
    </mc:Choice>
  </mc:AlternateContent>
  <xr:revisionPtr revIDLastSave="0" documentId="13_ncr:1_{1C4F23CD-A5AF-FF4A-86D0-4D3ABF2D04AA}" xr6:coauthVersionLast="47" xr6:coauthVersionMax="47" xr10:uidLastSave="{00000000-0000-0000-0000-000000000000}"/>
  <bookViews>
    <workbookView xWindow="0" yWindow="500" windowWidth="35840" windowHeight="21900" xr2:uid="{7EC49F9C-CF90-EB4D-9C65-1527360FD6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4" i="1" l="1"/>
  <c r="R13" i="1"/>
  <c r="R12" i="1"/>
  <c r="R11" i="1"/>
  <c r="Q14" i="1"/>
  <c r="Q13" i="1"/>
  <c r="Q12" i="1"/>
  <c r="Q11" i="1"/>
  <c r="P14" i="1"/>
  <c r="P13" i="1"/>
  <c r="P12" i="1"/>
  <c r="P11" i="1"/>
  <c r="M14" i="1"/>
  <c r="M13" i="1"/>
  <c r="M12" i="1"/>
  <c r="M11" i="1"/>
  <c r="L14" i="1"/>
  <c r="L13" i="1"/>
  <c r="L12" i="1"/>
  <c r="L11" i="1"/>
  <c r="J14" i="1"/>
  <c r="J13" i="1"/>
  <c r="J12" i="1"/>
  <c r="J11" i="1"/>
  <c r="I14" i="1"/>
  <c r="I13" i="1"/>
  <c r="I12" i="1"/>
  <c r="I11" i="1"/>
  <c r="G14" i="1"/>
  <c r="G13" i="1"/>
  <c r="G12" i="1"/>
  <c r="G11" i="1"/>
  <c r="E11" i="1"/>
  <c r="E12" i="1"/>
  <c r="E13" i="1"/>
  <c r="E14" i="1"/>
  <c r="G18" i="1"/>
  <c r="G19" i="1"/>
  <c r="G20" i="1"/>
  <c r="G21" i="1"/>
  <c r="G22" i="1"/>
  <c r="G23" i="1"/>
  <c r="G24" i="1"/>
  <c r="G25" i="1"/>
  <c r="G26" i="1"/>
  <c r="G27" i="1"/>
  <c r="G30" i="1"/>
  <c r="G31" i="1"/>
  <c r="G32" i="1"/>
  <c r="G33" i="1"/>
  <c r="G34" i="1"/>
  <c r="G35" i="1"/>
  <c r="G36" i="1"/>
  <c r="G37" i="1"/>
  <c r="G38" i="1"/>
  <c r="G39" i="1"/>
  <c r="G42" i="1"/>
  <c r="G43" i="1"/>
  <c r="G44" i="1"/>
  <c r="G45" i="1"/>
  <c r="G46" i="1"/>
  <c r="G47" i="1"/>
  <c r="G48" i="1"/>
  <c r="G49" i="1"/>
  <c r="G50" i="1"/>
  <c r="G51" i="1"/>
  <c r="G54" i="1"/>
  <c r="G55" i="1"/>
  <c r="G56" i="1"/>
  <c r="G57" i="1"/>
  <c r="G58" i="1"/>
  <c r="G59" i="1"/>
  <c r="G60" i="1"/>
  <c r="G61" i="1"/>
  <c r="G17" i="1"/>
  <c r="D3" i="1"/>
  <c r="C3" i="1"/>
  <c r="G28" i="1" s="1"/>
  <c r="D4" i="1"/>
  <c r="C4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17" i="1"/>
  <c r="E56" i="1" l="1"/>
  <c r="T56" i="1" s="1"/>
  <c r="E20" i="1"/>
  <c r="S20" i="1" s="1"/>
  <c r="E31" i="1"/>
  <c r="T31" i="1" s="1"/>
  <c r="E54" i="1"/>
  <c r="T54" i="1" s="1"/>
  <c r="E18" i="1"/>
  <c r="T18" i="1" s="1"/>
  <c r="E53" i="1"/>
  <c r="S53" i="1" s="1"/>
  <c r="S24" i="1"/>
  <c r="E49" i="1"/>
  <c r="T49" i="1" s="1"/>
  <c r="E37" i="1"/>
  <c r="V37" i="1" s="1"/>
  <c r="E25" i="1"/>
  <c r="V25" i="1" s="1"/>
  <c r="E43" i="1"/>
  <c r="U43" i="1" s="1"/>
  <c r="E58" i="1"/>
  <c r="T58" i="1" s="1"/>
  <c r="E22" i="1"/>
  <c r="S22" i="1" s="1"/>
  <c r="E45" i="1"/>
  <c r="V45" i="1" s="1"/>
  <c r="E30" i="1"/>
  <c r="T30" i="1" s="1"/>
  <c r="E41" i="1"/>
  <c r="S41" i="1" s="1"/>
  <c r="E29" i="1"/>
  <c r="S29" i="1" s="1"/>
  <c r="E52" i="1"/>
  <c r="U52" i="1" s="1"/>
  <c r="E28" i="1"/>
  <c r="U28" i="1" s="1"/>
  <c r="E51" i="1"/>
  <c r="V51" i="1" s="1"/>
  <c r="E39" i="1"/>
  <c r="T39" i="1" s="1"/>
  <c r="E24" i="1"/>
  <c r="U24" i="1" s="1"/>
  <c r="E59" i="1"/>
  <c r="S59" i="1" s="1"/>
  <c r="E47" i="1"/>
  <c r="U47" i="1" s="1"/>
  <c r="E35" i="1"/>
  <c r="T35" i="1" s="1"/>
  <c r="E23" i="1"/>
  <c r="S23" i="1" s="1"/>
  <c r="V53" i="1"/>
  <c r="V49" i="1"/>
  <c r="I20" i="1"/>
  <c r="G53" i="1"/>
  <c r="G41" i="1"/>
  <c r="V41" i="1" s="1"/>
  <c r="G29" i="1"/>
  <c r="U29" i="1" s="1"/>
  <c r="G52" i="1"/>
  <c r="G40" i="1"/>
  <c r="S51" i="1"/>
  <c r="S28" i="1"/>
  <c r="S31" i="1"/>
  <c r="S43" i="1"/>
  <c r="S47" i="1"/>
  <c r="T41" i="1"/>
  <c r="T20" i="1"/>
  <c r="V29" i="1"/>
  <c r="U25" i="1"/>
  <c r="V24" i="1"/>
  <c r="U56" i="1"/>
  <c r="V20" i="1"/>
  <c r="T24" i="1"/>
  <c r="V59" i="1"/>
  <c r="U59" i="1"/>
  <c r="U51" i="1"/>
  <c r="T59" i="1"/>
  <c r="T47" i="1"/>
  <c r="T43" i="1"/>
  <c r="I18" i="1"/>
  <c r="D2" i="1"/>
  <c r="E33" i="1" s="1"/>
  <c r="I39" i="1"/>
  <c r="I26" i="1"/>
  <c r="I61" i="1"/>
  <c r="I49" i="1"/>
  <c r="U49" i="1" s="1"/>
  <c r="I37" i="1"/>
  <c r="S37" i="1" s="1"/>
  <c r="I25" i="1"/>
  <c r="T25" i="1" s="1"/>
  <c r="I52" i="1"/>
  <c r="I53" i="1"/>
  <c r="I50" i="1"/>
  <c r="I60" i="1"/>
  <c r="I48" i="1"/>
  <c r="I36" i="1"/>
  <c r="I24" i="1"/>
  <c r="I59" i="1"/>
  <c r="I47" i="1"/>
  <c r="I35" i="1"/>
  <c r="I23" i="1"/>
  <c r="I27" i="1"/>
  <c r="I17" i="1"/>
  <c r="I22" i="1"/>
  <c r="I29" i="1"/>
  <c r="I28" i="1"/>
  <c r="I38" i="1"/>
  <c r="I58" i="1"/>
  <c r="I46" i="1"/>
  <c r="I34" i="1"/>
  <c r="I57" i="1"/>
  <c r="I45" i="1"/>
  <c r="I33" i="1"/>
  <c r="I21" i="1"/>
  <c r="I40" i="1"/>
  <c r="I32" i="1"/>
  <c r="I55" i="1"/>
  <c r="I43" i="1"/>
  <c r="I31" i="1"/>
  <c r="I19" i="1"/>
  <c r="I41" i="1"/>
  <c r="I51" i="1"/>
  <c r="I56" i="1"/>
  <c r="V56" i="1" s="1"/>
  <c r="I44" i="1"/>
  <c r="I54" i="1"/>
  <c r="S54" i="1" s="1"/>
  <c r="I42" i="1"/>
  <c r="I30" i="1"/>
  <c r="S30" i="1" s="1"/>
  <c r="C2" i="1"/>
  <c r="E44" i="1" s="1"/>
  <c r="V44" i="1" l="1"/>
  <c r="U44" i="1"/>
  <c r="T44" i="1"/>
  <c r="S44" i="1"/>
  <c r="S33" i="1"/>
  <c r="U33" i="1"/>
  <c r="T33" i="1"/>
  <c r="V33" i="1"/>
  <c r="U41" i="1"/>
  <c r="T51" i="1"/>
  <c r="V28" i="1"/>
  <c r="U45" i="1"/>
  <c r="U18" i="1"/>
  <c r="U58" i="1"/>
  <c r="S49" i="1"/>
  <c r="S39" i="1"/>
  <c r="V58" i="1"/>
  <c r="T53" i="1"/>
  <c r="T28" i="1"/>
  <c r="S25" i="1"/>
  <c r="T23" i="1"/>
  <c r="U53" i="1"/>
  <c r="E61" i="1"/>
  <c r="U35" i="1"/>
  <c r="V39" i="1"/>
  <c r="T52" i="1"/>
  <c r="U20" i="1"/>
  <c r="T29" i="1"/>
  <c r="E48" i="1"/>
  <c r="E19" i="1"/>
  <c r="E26" i="1"/>
  <c r="E57" i="1"/>
  <c r="V54" i="1"/>
  <c r="U37" i="1"/>
  <c r="S58" i="1"/>
  <c r="V52" i="1"/>
  <c r="U23" i="1"/>
  <c r="V18" i="1"/>
  <c r="T45" i="1"/>
  <c r="U22" i="1"/>
  <c r="V35" i="1"/>
  <c r="S56" i="1"/>
  <c r="E36" i="1"/>
  <c r="T22" i="1"/>
  <c r="V30" i="1"/>
  <c r="U39" i="1"/>
  <c r="V43" i="1"/>
  <c r="S35" i="1"/>
  <c r="E60" i="1"/>
  <c r="E55" i="1"/>
  <c r="E38" i="1"/>
  <c r="E34" i="1"/>
  <c r="V23" i="1"/>
  <c r="S45" i="1"/>
  <c r="U31" i="1"/>
  <c r="T37" i="1"/>
  <c r="E42" i="1"/>
  <c r="U30" i="1"/>
  <c r="V47" i="1"/>
  <c r="S52" i="1"/>
  <c r="E17" i="1"/>
  <c r="E32" i="1"/>
  <c r="E50" i="1"/>
  <c r="E46" i="1"/>
  <c r="U54" i="1"/>
  <c r="V31" i="1"/>
  <c r="S18" i="1"/>
  <c r="V22" i="1"/>
  <c r="E27" i="1"/>
  <c r="E21" i="1"/>
  <c r="E40" i="1"/>
  <c r="V42" i="1" l="1"/>
  <c r="S42" i="1"/>
  <c r="T42" i="1"/>
  <c r="U42" i="1"/>
  <c r="U19" i="1"/>
  <c r="T19" i="1"/>
  <c r="V19" i="1"/>
  <c r="S19" i="1"/>
  <c r="T61" i="1"/>
  <c r="S61" i="1"/>
  <c r="U61" i="1"/>
  <c r="V61" i="1"/>
  <c r="T57" i="1"/>
  <c r="V57" i="1"/>
  <c r="U57" i="1"/>
  <c r="S57" i="1"/>
  <c r="T26" i="1"/>
  <c r="V26" i="1"/>
  <c r="U26" i="1"/>
  <c r="S26" i="1"/>
  <c r="V38" i="1"/>
  <c r="U38" i="1"/>
  <c r="S38" i="1"/>
  <c r="T38" i="1"/>
  <c r="S40" i="1"/>
  <c r="T40" i="1"/>
  <c r="V40" i="1"/>
  <c r="U40" i="1"/>
  <c r="U21" i="1"/>
  <c r="V21" i="1"/>
  <c r="T21" i="1"/>
  <c r="S21" i="1"/>
  <c r="S48" i="1"/>
  <c r="U48" i="1"/>
  <c r="T48" i="1"/>
  <c r="V48" i="1"/>
  <c r="U32" i="1"/>
  <c r="T32" i="1"/>
  <c r="S32" i="1"/>
  <c r="V32" i="1"/>
  <c r="V27" i="1"/>
  <c r="T27" i="1"/>
  <c r="U27" i="1"/>
  <c r="S27" i="1"/>
  <c r="S36" i="1"/>
  <c r="T36" i="1"/>
  <c r="V36" i="1"/>
  <c r="U36" i="1"/>
  <c r="S46" i="1"/>
  <c r="U46" i="1"/>
  <c r="T46" i="1"/>
  <c r="V46" i="1"/>
  <c r="V34" i="1"/>
  <c r="U34" i="1"/>
  <c r="S34" i="1"/>
  <c r="T34" i="1"/>
  <c r="T50" i="1"/>
  <c r="U50" i="1"/>
  <c r="S50" i="1"/>
  <c r="V50" i="1"/>
  <c r="S55" i="1"/>
  <c r="U55" i="1"/>
  <c r="T55" i="1"/>
  <c r="V55" i="1"/>
  <c r="S17" i="1"/>
  <c r="T17" i="1"/>
  <c r="V17" i="1"/>
  <c r="U17" i="1"/>
  <c r="S60" i="1"/>
  <c r="V60" i="1"/>
  <c r="T60" i="1"/>
  <c r="U60" i="1"/>
</calcChain>
</file>

<file path=xl/sharedStrings.xml><?xml version="1.0" encoding="utf-8"?>
<sst xmlns="http://schemas.openxmlformats.org/spreadsheetml/2006/main" count="216" uniqueCount="180">
  <si>
    <t>Order</t>
  </si>
  <si>
    <t>President</t>
  </si>
  <si>
    <t>Age Entering Office</t>
  </si>
  <si>
    <t>Height</t>
  </si>
  <si>
    <t>Weight</t>
  </si>
  <si>
    <t>Physical Robustness</t>
  </si>
  <si>
    <t xml:space="preserve">IQ Score </t>
  </si>
  <si>
    <t>Cognitive Competency</t>
  </si>
  <si>
    <t>Decision Making</t>
  </si>
  <si>
    <t>Washington</t>
  </si>
  <si>
    <t>57Y, 68D</t>
  </si>
  <si>
    <t>SA = 9.2</t>
  </si>
  <si>
    <t>SM = 4.1</t>
  </si>
  <si>
    <t>Adams the Elder</t>
  </si>
  <si>
    <t>61Y, 125D</t>
  </si>
  <si>
    <t>SA = 4.3</t>
  </si>
  <si>
    <t>SM = 0.8</t>
  </si>
  <si>
    <t>Jefferson</t>
  </si>
  <si>
    <t>57Y, 325D</t>
  </si>
  <si>
    <t>SA = 9.1</t>
  </si>
  <si>
    <t>SM = 9.2</t>
  </si>
  <si>
    <t>Madison</t>
  </si>
  <si>
    <t>57Y, 353D</t>
  </si>
  <si>
    <t>SA = 6.9</t>
  </si>
  <si>
    <t>SM = 6.0</t>
  </si>
  <si>
    <t>Monroe</t>
  </si>
  <si>
    <t>58Y, 310D</t>
  </si>
  <si>
    <t>SA = 3.3</t>
  </si>
  <si>
    <t>SM = 2.7</t>
  </si>
  <si>
    <t>Adams the Younger</t>
  </si>
  <si>
    <t>57Y, 236D</t>
  </si>
  <si>
    <t>SM = 6.6</t>
  </si>
  <si>
    <t>Jackson</t>
  </si>
  <si>
    <t>61Y, 354D</t>
  </si>
  <si>
    <t>SA = 3.2</t>
  </si>
  <si>
    <t>SM = 1.7</t>
  </si>
  <si>
    <t>Van Buren</t>
  </si>
  <si>
    <t>54Y, 89D</t>
  </si>
  <si>
    <t>SA = 4.5</t>
  </si>
  <si>
    <t>SM = 7.1</t>
  </si>
  <si>
    <t>Harrison the Elder</t>
  </si>
  <si>
    <t>68Y, 23D</t>
  </si>
  <si>
    <t>SA = 7.3</t>
  </si>
  <si>
    <t>Tyler</t>
  </si>
  <si>
    <t>51Y, 6D</t>
  </si>
  <si>
    <t>SA =3.7</t>
  </si>
  <si>
    <t>SM = 4.4</t>
  </si>
  <si>
    <t>Polk</t>
  </si>
  <si>
    <t>49Y, 123D</t>
  </si>
  <si>
    <t>SA = 8.7</t>
  </si>
  <si>
    <t>SM = 8.9</t>
  </si>
  <si>
    <t>Taylor</t>
  </si>
  <si>
    <t>64Y, 100D</t>
  </si>
  <si>
    <t>SM = 7.7</t>
  </si>
  <si>
    <t>Fillmore</t>
  </si>
  <si>
    <t>50Y, 183D</t>
  </si>
  <si>
    <t>SM = 5.5</t>
  </si>
  <si>
    <t>Pierce</t>
  </si>
  <si>
    <t>48Y, 101D</t>
  </si>
  <si>
    <t>SA = 4.7</t>
  </si>
  <si>
    <t>Buchanan</t>
  </si>
  <si>
    <t>65Y, 315D</t>
  </si>
  <si>
    <t>SA = 1.8</t>
  </si>
  <si>
    <t>Lincoln</t>
  </si>
  <si>
    <t>52Y, 20D</t>
  </si>
  <si>
    <t>SA = 8.9</t>
  </si>
  <si>
    <t>Johnson, A.</t>
  </si>
  <si>
    <t>56Y, 107D</t>
  </si>
  <si>
    <t>SA = 0.8</t>
  </si>
  <si>
    <t>SM = 3.2</t>
  </si>
  <si>
    <t>Grant</t>
  </si>
  <si>
    <t>46Y, 311D</t>
  </si>
  <si>
    <t>SA = 7.9</t>
  </si>
  <si>
    <t>SM = 3.5</t>
  </si>
  <si>
    <t>Hayes</t>
  </si>
  <si>
    <t>54Y, 151D</t>
  </si>
  <si>
    <t>SA = 7.7</t>
  </si>
  <si>
    <t>SM = 7.6</t>
  </si>
  <si>
    <t xml:space="preserve">Garfield </t>
  </si>
  <si>
    <t>49Y, 105D</t>
  </si>
  <si>
    <t>SA = 1.6</t>
  </si>
  <si>
    <t>SM = 6.8</t>
  </si>
  <si>
    <t>Arthur</t>
  </si>
  <si>
    <t>51Y, 349D</t>
  </si>
  <si>
    <t>SA = 8.8</t>
  </si>
  <si>
    <t>SM = 8.8</t>
  </si>
  <si>
    <t>22,24</t>
  </si>
  <si>
    <t>Cleveland x2</t>
  </si>
  <si>
    <t>47Y, 351D</t>
  </si>
  <si>
    <t>SA = 8.1</t>
  </si>
  <si>
    <t>SM = 0.4</t>
  </si>
  <si>
    <t>Harrison the Younger</t>
  </si>
  <si>
    <t>55Y, 196D</t>
  </si>
  <si>
    <t>SA = 2.5</t>
  </si>
  <si>
    <t>SM = 8.0</t>
  </si>
  <si>
    <t>McKinley</t>
  </si>
  <si>
    <t>54Y, 34D</t>
  </si>
  <si>
    <t>Teddy Roosevelt</t>
  </si>
  <si>
    <t>42Y, 322D</t>
  </si>
  <si>
    <t>SM = 3.3</t>
  </si>
  <si>
    <t>Taft</t>
  </si>
  <si>
    <t>51Y, 170D</t>
  </si>
  <si>
    <t>SA = 1.1</t>
  </si>
  <si>
    <t>SM = 0.1</t>
  </si>
  <si>
    <t>Wilson</t>
  </si>
  <si>
    <t>56Y, 66D</t>
  </si>
  <si>
    <t>SA = 1.9</t>
  </si>
  <si>
    <t>Harding</t>
  </si>
  <si>
    <t>55Y, 122D</t>
  </si>
  <si>
    <t>SA = 1.2</t>
  </si>
  <si>
    <t>Coolidge</t>
  </si>
  <si>
    <t>51Y, 29D</t>
  </si>
  <si>
    <t>SA = 7.5</t>
  </si>
  <si>
    <t>Hoover</t>
  </si>
  <si>
    <t>54Y, 206D</t>
  </si>
  <si>
    <t>SA = 0.9</t>
  </si>
  <si>
    <t>Franklin Roosevelt</t>
  </si>
  <si>
    <t>51Y, 33D</t>
  </si>
  <si>
    <t>SA = 5.5</t>
  </si>
  <si>
    <t>SM = 4.7</t>
  </si>
  <si>
    <t>Truman</t>
  </si>
  <si>
    <t>60Y, 339D</t>
  </si>
  <si>
    <t>SM = 2.6</t>
  </si>
  <si>
    <t>Eisenhower</t>
  </si>
  <si>
    <t>62Y, 98D</t>
  </si>
  <si>
    <t>Kennedy</t>
  </si>
  <si>
    <t>43Y, 236D</t>
  </si>
  <si>
    <t>SA = 8.5</t>
  </si>
  <si>
    <t>Johnson (LBJ)</t>
  </si>
  <si>
    <t>55Y, 27D</t>
  </si>
  <si>
    <t>SM = 1.9</t>
  </si>
  <si>
    <t>Nixon</t>
  </si>
  <si>
    <t>56Y, 11D</t>
  </si>
  <si>
    <t>SM = 2.3</t>
  </si>
  <si>
    <t xml:space="preserve">Ford </t>
  </si>
  <si>
    <t>61Y, 26D</t>
  </si>
  <si>
    <t>SA = 2.2</t>
  </si>
  <si>
    <t>SM = 6.9</t>
  </si>
  <si>
    <t>Carter</t>
  </si>
  <si>
    <t>52Y, 111D</t>
  </si>
  <si>
    <t>Reagan</t>
  </si>
  <si>
    <t>68Y, 348D</t>
  </si>
  <si>
    <t>SM = 9.6</t>
  </si>
  <si>
    <t>Bush the Elder</t>
  </si>
  <si>
    <t>64Y, 222D</t>
  </si>
  <si>
    <t>SM = 8.7</t>
  </si>
  <si>
    <t>Clinton</t>
  </si>
  <si>
    <t>46Y, 154D</t>
  </si>
  <si>
    <t>SA = 3.7</t>
  </si>
  <si>
    <t>SM = 0.3</t>
  </si>
  <si>
    <t>Bush the Younger</t>
  </si>
  <si>
    <t>54Y, 198D</t>
  </si>
  <si>
    <t>SA = 5.6</t>
  </si>
  <si>
    <t>SM = 7.8</t>
  </si>
  <si>
    <t>Obama</t>
  </si>
  <si>
    <t>47Y, 169D</t>
  </si>
  <si>
    <t>SA = 6.5</t>
  </si>
  <si>
    <t>SM = 7.2</t>
  </si>
  <si>
    <t>Trump</t>
  </si>
  <si>
    <t>70Y, 220D</t>
  </si>
  <si>
    <t>SM = 0.9</t>
  </si>
  <si>
    <t>Biden</t>
  </si>
  <si>
    <t>78Y, 61D</t>
  </si>
  <si>
    <t>SM = 2.2</t>
  </si>
  <si>
    <t>Self Awareness</t>
  </si>
  <si>
    <t>Self-Management</t>
  </si>
  <si>
    <t>Social Awareness</t>
  </si>
  <si>
    <t>Relationship Awareness</t>
  </si>
  <si>
    <t>Age (years)</t>
  </si>
  <si>
    <t>Round 1</t>
  </si>
  <si>
    <t>Round 2</t>
  </si>
  <si>
    <t>Round 3</t>
  </si>
  <si>
    <t>Round 4</t>
  </si>
  <si>
    <t>Weight (norm)</t>
  </si>
  <si>
    <t>Min</t>
  </si>
  <si>
    <t>Max</t>
  </si>
  <si>
    <t>Age</t>
  </si>
  <si>
    <t>Age (norm)</t>
  </si>
  <si>
    <t>Height (norm)</t>
  </si>
  <si>
    <t>Martial Acumen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</si>
</sst>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84052-02FC-D84B-B28A-832FEA26B161}">
  <dimension ref="A1:V61"/>
  <sheetViews>
    <sheetView tabSelected="1" workbookViewId="0">
      <selection activeCell="P30" sqref="P30"/>
    </sheetView>
  </sheetViews>
  <sheetFormatPr baseColWidth="10" defaultRowHeight="16" x14ac:dyDescent="0.2"/>
  <cols>
    <col min="1" max="1" width="5.83203125" bestFit="1" customWidth="1"/>
    <col min="2" max="2" width="18.5" bestFit="1" customWidth="1"/>
    <col min="3" max="3" width="17.33203125" bestFit="1" customWidth="1"/>
    <col min="4" max="4" width="10.5" bestFit="1" customWidth="1"/>
    <col min="5" max="5" width="10.5" customWidth="1"/>
    <col min="6" max="6" width="6.5" bestFit="1" customWidth="1"/>
    <col min="7" max="7" width="12.6640625" bestFit="1" customWidth="1"/>
    <col min="8" max="8" width="7.1640625" bestFit="1" customWidth="1"/>
    <col min="9" max="9" width="13.33203125" bestFit="1" customWidth="1"/>
    <col min="10" max="10" width="17.6640625" bestFit="1" customWidth="1"/>
    <col min="11" max="11" width="8.5" hidden="1" customWidth="1"/>
    <col min="12" max="12" width="19.33203125" bestFit="1" customWidth="1"/>
    <col min="13" max="13" width="14.5" bestFit="1" customWidth="1"/>
    <col min="14" max="14" width="13.83203125" hidden="1" customWidth="1"/>
    <col min="15" max="15" width="16" hidden="1" customWidth="1"/>
    <col min="16" max="16" width="15.5" bestFit="1" customWidth="1"/>
    <col min="17" max="17" width="21" bestFit="1" customWidth="1"/>
    <col min="18" max="18" width="15" bestFit="1" customWidth="1"/>
  </cols>
  <sheetData>
    <row r="1" spans="1:22" x14ac:dyDescent="0.2">
      <c r="C1" s="1" t="s">
        <v>174</v>
      </c>
      <c r="D1" s="1" t="s">
        <v>175</v>
      </c>
      <c r="E1" s="1"/>
    </row>
    <row r="2" spans="1:22" x14ac:dyDescent="0.2">
      <c r="B2" s="1" t="s">
        <v>176</v>
      </c>
      <c r="C2">
        <f>MIN($D$17:$D$61)</f>
        <v>42</v>
      </c>
      <c r="D2">
        <f>MAX($D$17:$D$61)</f>
        <v>78</v>
      </c>
    </row>
    <row r="3" spans="1:22" x14ac:dyDescent="0.2">
      <c r="B3" s="1" t="s">
        <v>3</v>
      </c>
      <c r="C3">
        <f>MIN($F$17:$F$61)</f>
        <v>64</v>
      </c>
      <c r="D3">
        <f>MAX($F$17:$F$61)</f>
        <v>76</v>
      </c>
    </row>
    <row r="4" spans="1:22" x14ac:dyDescent="0.2">
      <c r="B4" s="1" t="s">
        <v>4</v>
      </c>
      <c r="C4">
        <f>MIN($H$17:$H$61)</f>
        <v>100</v>
      </c>
      <c r="D4">
        <f>MAX($H$17:$H$61)</f>
        <v>340</v>
      </c>
    </row>
    <row r="6" spans="1:22" x14ac:dyDescent="0.2">
      <c r="C6" t="s">
        <v>169</v>
      </c>
      <c r="E6">
        <v>3</v>
      </c>
      <c r="G6">
        <v>-2</v>
      </c>
      <c r="I6">
        <v>0</v>
      </c>
      <c r="J6">
        <v>1</v>
      </c>
      <c r="L6">
        <v>8</v>
      </c>
      <c r="M6">
        <v>8</v>
      </c>
      <c r="P6">
        <v>7</v>
      </c>
      <c r="Q6">
        <v>7</v>
      </c>
      <c r="R6">
        <v>-2</v>
      </c>
    </row>
    <row r="7" spans="1:22" x14ac:dyDescent="0.2">
      <c r="C7" t="s">
        <v>170</v>
      </c>
      <c r="E7">
        <v>1</v>
      </c>
      <c r="G7">
        <v>-4</v>
      </c>
      <c r="I7">
        <v>-1</v>
      </c>
      <c r="J7">
        <v>6</v>
      </c>
      <c r="L7">
        <v>7</v>
      </c>
      <c r="M7">
        <v>8</v>
      </c>
      <c r="P7">
        <v>5</v>
      </c>
      <c r="Q7">
        <v>5</v>
      </c>
      <c r="R7">
        <v>4</v>
      </c>
    </row>
    <row r="8" spans="1:22" x14ac:dyDescent="0.2">
      <c r="C8" t="s">
        <v>171</v>
      </c>
      <c r="E8">
        <v>-7</v>
      </c>
      <c r="G8">
        <v>5</v>
      </c>
      <c r="I8">
        <v>-2</v>
      </c>
      <c r="J8">
        <v>8</v>
      </c>
      <c r="L8">
        <v>4</v>
      </c>
      <c r="M8">
        <v>5</v>
      </c>
      <c r="P8">
        <v>0</v>
      </c>
      <c r="Q8">
        <v>0</v>
      </c>
      <c r="R8">
        <v>8</v>
      </c>
    </row>
    <row r="9" spans="1:22" x14ac:dyDescent="0.2">
      <c r="C9" t="s">
        <v>172</v>
      </c>
      <c r="E9">
        <v>-10</v>
      </c>
      <c r="G9">
        <v>8</v>
      </c>
      <c r="I9">
        <v>-4</v>
      </c>
      <c r="J9">
        <v>9</v>
      </c>
      <c r="L9">
        <v>1</v>
      </c>
      <c r="M9">
        <v>2</v>
      </c>
      <c r="P9">
        <v>-8</v>
      </c>
      <c r="Q9">
        <v>-8</v>
      </c>
      <c r="R9">
        <v>10</v>
      </c>
    </row>
    <row r="11" spans="1:22" x14ac:dyDescent="0.2">
      <c r="C11" t="s">
        <v>169</v>
      </c>
      <c r="E11">
        <f t="shared" ref="E11:G13" si="0">IF(E6&gt;0,E6*0.1+1,1+E6*0.1)</f>
        <v>1.3</v>
      </c>
      <c r="G11">
        <f t="shared" si="0"/>
        <v>0.8</v>
      </c>
      <c r="I11">
        <f t="shared" ref="I11:J11" si="1">IF(I6&gt;0,I6*0.1+1,1+I6*0.1)</f>
        <v>1</v>
      </c>
      <c r="J11">
        <f t="shared" si="1"/>
        <v>1.1000000000000001</v>
      </c>
      <c r="L11">
        <f t="shared" ref="L11:M11" si="2">IF(L6&gt;0,L6*0.1+1,1+L6*0.1)</f>
        <v>1.8</v>
      </c>
      <c r="M11">
        <f t="shared" si="2"/>
        <v>1.8</v>
      </c>
      <c r="P11">
        <f t="shared" ref="P11:R11" si="3">IF(P6&gt;0,P6*0.1+1,1+P6*0.1)</f>
        <v>1.7000000000000002</v>
      </c>
      <c r="Q11">
        <f t="shared" si="3"/>
        <v>1.7000000000000002</v>
      </c>
      <c r="R11">
        <f t="shared" si="3"/>
        <v>0.8</v>
      </c>
    </row>
    <row r="12" spans="1:22" x14ac:dyDescent="0.2">
      <c r="C12" t="s">
        <v>170</v>
      </c>
      <c r="E12">
        <f t="shared" si="0"/>
        <v>1.1000000000000001</v>
      </c>
      <c r="G12">
        <f t="shared" si="0"/>
        <v>0.6</v>
      </c>
      <c r="I12">
        <f t="shared" ref="I12:J12" si="4">IF(I7&gt;0,I7*0.1+1,1+I7*0.1)</f>
        <v>0.9</v>
      </c>
      <c r="J12">
        <f t="shared" si="4"/>
        <v>1.6</v>
      </c>
      <c r="L12">
        <f t="shared" ref="L12:M12" si="5">IF(L7&gt;0,L7*0.1+1,1+L7*0.1)</f>
        <v>1.7000000000000002</v>
      </c>
      <c r="M12">
        <f t="shared" si="5"/>
        <v>1.8</v>
      </c>
      <c r="P12">
        <f t="shared" ref="P12:R12" si="6">IF(P7&gt;0,P7*0.1+1,1+P7*0.1)</f>
        <v>1.5</v>
      </c>
      <c r="Q12">
        <f t="shared" si="6"/>
        <v>1.5</v>
      </c>
      <c r="R12">
        <f t="shared" si="6"/>
        <v>1.4</v>
      </c>
    </row>
    <row r="13" spans="1:22" x14ac:dyDescent="0.2">
      <c r="C13" t="s">
        <v>171</v>
      </c>
      <c r="E13">
        <f t="shared" si="0"/>
        <v>0.29999999999999993</v>
      </c>
      <c r="G13">
        <f t="shared" si="0"/>
        <v>1.5</v>
      </c>
      <c r="I13">
        <f t="shared" ref="I13:J13" si="7">IF(I8&gt;0,I8*0.1+1,1+I8*0.1)</f>
        <v>0.8</v>
      </c>
      <c r="J13">
        <f t="shared" si="7"/>
        <v>1.8</v>
      </c>
      <c r="L13">
        <f t="shared" ref="L13:M13" si="8">IF(L8&gt;0,L8*0.1+1,1+L8*0.1)</f>
        <v>1.4</v>
      </c>
      <c r="M13">
        <f t="shared" si="8"/>
        <v>1.5</v>
      </c>
      <c r="P13">
        <f t="shared" ref="P13:R13" si="9">IF(P8&gt;0,P8*0.1+1,1+P8*0.1)</f>
        <v>1</v>
      </c>
      <c r="Q13">
        <f t="shared" si="9"/>
        <v>1</v>
      </c>
      <c r="R13">
        <f t="shared" si="9"/>
        <v>1.8</v>
      </c>
    </row>
    <row r="14" spans="1:22" x14ac:dyDescent="0.2">
      <c r="C14" t="s">
        <v>172</v>
      </c>
      <c r="E14">
        <f>IF(E9&gt;0,E9*0.1+1,1+E9*0.1)</f>
        <v>0</v>
      </c>
      <c r="G14">
        <f>IF(G9&gt;0,G9*0.1+1,1+G9*0.1)</f>
        <v>1.8</v>
      </c>
      <c r="I14">
        <f>IF(I9&gt;0,I9*0.1+1,1+I9*0.1)</f>
        <v>0.6</v>
      </c>
      <c r="J14">
        <f>IF(J9&gt;0,J9*0.1+1,1+J9*0.1)</f>
        <v>1.9</v>
      </c>
      <c r="L14">
        <f>IF(L9&gt;0,L9*0.1+1,1+L9*0.1)</f>
        <v>1.1000000000000001</v>
      </c>
      <c r="M14">
        <f>IF(M9&gt;0,M9*0.1+1,1+M9*0.1)</f>
        <v>1.2</v>
      </c>
      <c r="P14">
        <f>IF(P9&gt;0,P9*0.1+1,1+P9*0.1)</f>
        <v>0.19999999999999996</v>
      </c>
      <c r="Q14">
        <f>IF(Q9&gt;0,Q9*0.1+1,1+Q9*0.1)</f>
        <v>0.19999999999999996</v>
      </c>
      <c r="R14">
        <f>IF(R9&gt;0,R9*0.1+1,1+R9*0.1)</f>
        <v>2</v>
      </c>
    </row>
    <row r="16" spans="1:22" x14ac:dyDescent="0.2">
      <c r="A16" t="s">
        <v>0</v>
      </c>
      <c r="B16" t="s">
        <v>1</v>
      </c>
      <c r="C16" t="s">
        <v>2</v>
      </c>
      <c r="D16" t="s">
        <v>168</v>
      </c>
      <c r="E16" t="s">
        <v>177</v>
      </c>
      <c r="F16" t="s">
        <v>3</v>
      </c>
      <c r="G16" t="s">
        <v>178</v>
      </c>
      <c r="H16" t="s">
        <v>4</v>
      </c>
      <c r="I16" t="s">
        <v>173</v>
      </c>
      <c r="J16" t="s">
        <v>5</v>
      </c>
      <c r="K16" t="s">
        <v>6</v>
      </c>
      <c r="L16" t="s">
        <v>7</v>
      </c>
      <c r="M16" t="s">
        <v>8</v>
      </c>
      <c r="N16" t="s">
        <v>164</v>
      </c>
      <c r="O16" t="s">
        <v>165</v>
      </c>
      <c r="P16" t="s">
        <v>166</v>
      </c>
      <c r="Q16" t="s">
        <v>167</v>
      </c>
      <c r="R16" t="s">
        <v>179</v>
      </c>
      <c r="S16" s="1" t="s">
        <v>169</v>
      </c>
      <c r="T16" s="1" t="s">
        <v>170</v>
      </c>
      <c r="U16" s="1" t="s">
        <v>171</v>
      </c>
      <c r="V16" s="1" t="s">
        <v>172</v>
      </c>
    </row>
    <row r="17" spans="1:22" x14ac:dyDescent="0.2">
      <c r="A17">
        <v>1</v>
      </c>
      <c r="B17" t="s">
        <v>9</v>
      </c>
      <c r="C17" t="s">
        <v>10</v>
      </c>
      <c r="D17">
        <f>INT(LEFT(C17,2))</f>
        <v>57</v>
      </c>
      <c r="E17" s="2">
        <f>(D17-$C$2)/($D$2-$C$2)*10</f>
        <v>4.166666666666667</v>
      </c>
      <c r="F17">
        <v>74</v>
      </c>
      <c r="G17" s="2">
        <f>(F17-$C$3)/($D$3-$C$3)*10</f>
        <v>8.3333333333333339</v>
      </c>
      <c r="H17">
        <v>175</v>
      </c>
      <c r="I17" s="2">
        <f>(H17-$C$4)/($D$4-$C$4)*10</f>
        <v>3.125</v>
      </c>
      <c r="J17">
        <v>6.5</v>
      </c>
      <c r="K17">
        <v>132.5</v>
      </c>
      <c r="L17">
        <v>9.1999999999999993</v>
      </c>
      <c r="M17">
        <v>9.5</v>
      </c>
      <c r="N17" t="s">
        <v>11</v>
      </c>
      <c r="O17" t="s">
        <v>12</v>
      </c>
      <c r="P17">
        <v>9.3000000000000007</v>
      </c>
      <c r="Q17">
        <v>8.4</v>
      </c>
      <c r="R17">
        <v>9</v>
      </c>
      <c r="S17" s="2">
        <f>SUM($E$11*$E17,$G$11*$G17,$I$11*$I17,$J$11*$J17,$L$11*$L17,$M$11*$M17,$P$11*$P17,$Q$11*$Q17,$R$11*$R17)</f>
        <v>93.308333333333351</v>
      </c>
      <c r="T17" s="2">
        <f>SUM($E$12*$E17,$G$12*$G17,$I$12*$I17,$J$12*$J17,$L$12*$L17,$M$12*$M17,$P$12*$P17,$Q$12*$Q17,$R$12*$R17)</f>
        <v>94.685833333333335</v>
      </c>
      <c r="U17" s="2">
        <f>SUM($E$13*$E17,$G$13*$G17,$I$13*$I17,$J$13*$J17,$L$13*$L17,$M$13*$M17,$P$13*$P17,$Q$13*$Q17,$R$13*$R17)</f>
        <v>88.98</v>
      </c>
      <c r="V17" s="2">
        <f>SUM($E$14*$E17,$G$14*$G17,$I$14*$I17,$J$14*$J17,$L$14*$L17,$M$14*$M17,$P$14*$P17,$Q$14*$Q17,$R$14*$R17)</f>
        <v>72.284999999999997</v>
      </c>
    </row>
    <row r="18" spans="1:22" x14ac:dyDescent="0.2">
      <c r="A18">
        <v>2</v>
      </c>
      <c r="B18" t="s">
        <v>13</v>
      </c>
      <c r="C18" t="s">
        <v>14</v>
      </c>
      <c r="D18">
        <f t="shared" ref="D18:D61" si="10">INT(LEFT(C18,2))</f>
        <v>61</v>
      </c>
      <c r="E18" s="2">
        <f t="shared" ref="E18:E61" si="11">(D18-$C$2)/($D$2-$C$2)*10</f>
        <v>5.2777777777777777</v>
      </c>
      <c r="F18">
        <v>67</v>
      </c>
      <c r="G18" s="2">
        <f t="shared" ref="G18:G61" si="12">(F18-$C$3)/($D$3-$C$3)*10</f>
        <v>2.5</v>
      </c>
      <c r="H18">
        <v>150</v>
      </c>
      <c r="I18" s="2">
        <f t="shared" ref="I18:I61" si="13">(H18-$C$4)/($D$4-$C$4)*10</f>
        <v>2.0833333333333335</v>
      </c>
      <c r="J18">
        <v>5.5</v>
      </c>
      <c r="K18">
        <v>142.5</v>
      </c>
      <c r="L18">
        <v>1.5</v>
      </c>
      <c r="M18">
        <v>4.8</v>
      </c>
      <c r="N18" t="s">
        <v>15</v>
      </c>
      <c r="O18" t="s">
        <v>16</v>
      </c>
      <c r="P18">
        <v>1</v>
      </c>
      <c r="Q18">
        <v>1.7</v>
      </c>
      <c r="R18">
        <v>0</v>
      </c>
      <c r="S18" s="2">
        <f t="shared" ref="S18:S61" si="14">SUM($E$11*$E18,$G$11*$G18,$I$11*$I18,$J$11*$J18,$L$11*$L18,$M$11*$M18,$P$11*$P18,$Q$11*$Q18,$R$11*$R18)</f>
        <v>32.924444444444447</v>
      </c>
      <c r="T18" s="2">
        <f t="shared" ref="T18:T61" si="15">SUM($E$12*$E18,$G$12*$G18,$I$12*$I18,$J$12*$J18,$L$12*$L18,$M$12*$M18,$P$12*$P18,$Q$12*$Q18,$R$12*$R18)</f>
        <v>33.220555555555556</v>
      </c>
      <c r="U18" s="2">
        <f t="shared" ref="U18:U61" si="16">SUM($E$13*$E18,$G$13*$G18,$I$13*$I18,$J$13*$J18,$L$13*$L18,$M$13*$M18,$P$13*$P18,$Q$13*$Q18,$R$13*$R18)</f>
        <v>28.9</v>
      </c>
      <c r="V18" s="2">
        <f t="shared" ref="V18:V61" si="17">SUM($E$14*$E18,$G$14*$G18,$I$14*$I18,$J$14*$J18,$L$14*$L18,$M$14*$M18,$P$14*$P18,$Q$14*$Q18,$R$14*$R18)</f>
        <v>24.15</v>
      </c>
    </row>
    <row r="19" spans="1:22" x14ac:dyDescent="0.2">
      <c r="A19">
        <v>3</v>
      </c>
      <c r="B19" t="s">
        <v>17</v>
      </c>
      <c r="C19" t="s">
        <v>18</v>
      </c>
      <c r="D19">
        <f t="shared" si="10"/>
        <v>57</v>
      </c>
      <c r="E19" s="2">
        <f t="shared" si="11"/>
        <v>4.166666666666667</v>
      </c>
      <c r="F19">
        <v>74.5</v>
      </c>
      <c r="G19" s="2">
        <f t="shared" si="12"/>
        <v>8.75</v>
      </c>
      <c r="H19">
        <v>174</v>
      </c>
      <c r="I19" s="2">
        <f t="shared" si="13"/>
        <v>3.0833333333333335</v>
      </c>
      <c r="J19">
        <v>7.3</v>
      </c>
      <c r="K19">
        <v>153.80000000000001</v>
      </c>
      <c r="L19">
        <v>2.6</v>
      </c>
      <c r="M19">
        <v>7.2</v>
      </c>
      <c r="N19" t="s">
        <v>19</v>
      </c>
      <c r="O19" t="s">
        <v>20</v>
      </c>
      <c r="P19">
        <v>8.6</v>
      </c>
      <c r="Q19">
        <v>9.1999999999999993</v>
      </c>
      <c r="R19">
        <v>7</v>
      </c>
      <c r="S19" s="2">
        <f t="shared" si="14"/>
        <v>77.03</v>
      </c>
      <c r="T19" s="2">
        <f t="shared" si="15"/>
        <v>78.168333333333337</v>
      </c>
      <c r="U19" s="2">
        <f t="shared" si="16"/>
        <v>74.821666666666658</v>
      </c>
      <c r="V19" s="2">
        <f t="shared" si="17"/>
        <v>60.529999999999994</v>
      </c>
    </row>
    <row r="20" spans="1:22" x14ac:dyDescent="0.2">
      <c r="A20">
        <v>4</v>
      </c>
      <c r="B20" t="s">
        <v>21</v>
      </c>
      <c r="C20" t="s">
        <v>22</v>
      </c>
      <c r="D20">
        <f t="shared" si="10"/>
        <v>57</v>
      </c>
      <c r="E20" s="2">
        <f t="shared" si="11"/>
        <v>4.166666666666667</v>
      </c>
      <c r="F20">
        <v>64</v>
      </c>
      <c r="G20" s="2">
        <f t="shared" si="12"/>
        <v>0</v>
      </c>
      <c r="H20">
        <v>100</v>
      </c>
      <c r="I20" s="2">
        <f t="shared" si="13"/>
        <v>0</v>
      </c>
      <c r="J20">
        <v>7</v>
      </c>
      <c r="K20">
        <v>141.30000000000001</v>
      </c>
      <c r="L20">
        <v>2.5</v>
      </c>
      <c r="M20">
        <v>1.8</v>
      </c>
      <c r="N20" t="s">
        <v>23</v>
      </c>
      <c r="O20" t="s">
        <v>24</v>
      </c>
      <c r="P20">
        <v>6.1</v>
      </c>
      <c r="Q20">
        <v>8.4</v>
      </c>
      <c r="R20">
        <v>7</v>
      </c>
      <c r="S20" s="2">
        <f t="shared" si="14"/>
        <v>51.106666666666676</v>
      </c>
      <c r="T20" s="2">
        <f t="shared" si="15"/>
        <v>54.823333333333331</v>
      </c>
      <c r="U20" s="2">
        <f t="shared" si="16"/>
        <v>47.15</v>
      </c>
      <c r="V20" s="2">
        <f t="shared" si="17"/>
        <v>35.11</v>
      </c>
    </row>
    <row r="21" spans="1:22" x14ac:dyDescent="0.2">
      <c r="A21">
        <v>5</v>
      </c>
      <c r="B21" t="s">
        <v>25</v>
      </c>
      <c r="C21" t="s">
        <v>26</v>
      </c>
      <c r="D21">
        <f t="shared" si="10"/>
        <v>58</v>
      </c>
      <c r="E21" s="2">
        <f t="shared" si="11"/>
        <v>4.4444444444444446</v>
      </c>
      <c r="F21">
        <v>72</v>
      </c>
      <c r="G21" s="2">
        <f t="shared" si="12"/>
        <v>6.6666666666666661</v>
      </c>
      <c r="H21">
        <v>189</v>
      </c>
      <c r="I21" s="2">
        <f t="shared" si="13"/>
        <v>3.7083333333333335</v>
      </c>
      <c r="J21">
        <v>5</v>
      </c>
      <c r="K21">
        <v>124.1</v>
      </c>
      <c r="L21">
        <v>8.5</v>
      </c>
      <c r="M21">
        <v>9.1999999999999993</v>
      </c>
      <c r="N21" t="s">
        <v>27</v>
      </c>
      <c r="O21" t="s">
        <v>28</v>
      </c>
      <c r="P21">
        <v>3.2</v>
      </c>
      <c r="Q21">
        <v>9.1999999999999993</v>
      </c>
      <c r="R21">
        <v>9</v>
      </c>
      <c r="S21" s="2">
        <f t="shared" si="14"/>
        <v>80.459444444444443</v>
      </c>
      <c r="T21" s="2">
        <f t="shared" si="15"/>
        <v>82.436388888888885</v>
      </c>
      <c r="U21" s="2">
        <f t="shared" si="16"/>
        <v>77.599999999999994</v>
      </c>
      <c r="V21" s="2">
        <f t="shared" si="17"/>
        <v>64.594999999999999</v>
      </c>
    </row>
    <row r="22" spans="1:22" x14ac:dyDescent="0.2">
      <c r="A22">
        <v>6</v>
      </c>
      <c r="B22" t="s">
        <v>29</v>
      </c>
      <c r="C22" t="s">
        <v>30</v>
      </c>
      <c r="D22">
        <f t="shared" si="10"/>
        <v>57</v>
      </c>
      <c r="E22" s="2">
        <f t="shared" si="11"/>
        <v>4.166666666666667</v>
      </c>
      <c r="F22">
        <v>67.5</v>
      </c>
      <c r="G22" s="2">
        <f t="shared" si="12"/>
        <v>2.916666666666667</v>
      </c>
      <c r="H22">
        <v>175</v>
      </c>
      <c r="I22" s="2">
        <f t="shared" si="13"/>
        <v>3.125</v>
      </c>
      <c r="J22">
        <v>8.1</v>
      </c>
      <c r="K22">
        <v>168.5</v>
      </c>
      <c r="L22">
        <v>0.9</v>
      </c>
      <c r="M22">
        <v>4.4000000000000004</v>
      </c>
      <c r="N22" t="s">
        <v>27</v>
      </c>
      <c r="O22" t="s">
        <v>31</v>
      </c>
      <c r="P22">
        <v>2.2999999999999998</v>
      </c>
      <c r="Q22">
        <v>2.2000000000000002</v>
      </c>
      <c r="R22">
        <v>0</v>
      </c>
      <c r="S22" s="2">
        <f t="shared" si="14"/>
        <v>36.975000000000001</v>
      </c>
      <c r="T22" s="2">
        <f t="shared" si="15"/>
        <v>38.305833333333339</v>
      </c>
      <c r="U22" s="2">
        <f t="shared" si="16"/>
        <v>35.065000000000005</v>
      </c>
      <c r="V22" s="2">
        <f t="shared" si="17"/>
        <v>29.685000000000002</v>
      </c>
    </row>
    <row r="23" spans="1:22" x14ac:dyDescent="0.2">
      <c r="A23">
        <v>7</v>
      </c>
      <c r="B23" t="s">
        <v>32</v>
      </c>
      <c r="C23" t="s">
        <v>33</v>
      </c>
      <c r="D23">
        <f t="shared" si="10"/>
        <v>61</v>
      </c>
      <c r="E23" s="2">
        <f t="shared" si="11"/>
        <v>5.2777777777777777</v>
      </c>
      <c r="F23">
        <v>73</v>
      </c>
      <c r="G23" s="2">
        <f t="shared" si="12"/>
        <v>7.5</v>
      </c>
      <c r="H23">
        <v>140</v>
      </c>
      <c r="I23" s="2">
        <f t="shared" si="13"/>
        <v>1.6666666666666665</v>
      </c>
      <c r="J23">
        <v>1.5</v>
      </c>
      <c r="K23">
        <v>126.3</v>
      </c>
      <c r="L23">
        <v>2.7</v>
      </c>
      <c r="M23">
        <v>5.5</v>
      </c>
      <c r="N23" t="s">
        <v>34</v>
      </c>
      <c r="O23" t="s">
        <v>35</v>
      </c>
      <c r="P23">
        <v>3.1</v>
      </c>
      <c r="Q23">
        <v>0.7</v>
      </c>
      <c r="R23">
        <v>10</v>
      </c>
      <c r="S23" s="2">
        <f t="shared" si="14"/>
        <v>45.397777777777776</v>
      </c>
      <c r="T23" s="2">
        <f t="shared" si="15"/>
        <v>48.395555555555553</v>
      </c>
      <c r="U23" s="2">
        <f t="shared" si="16"/>
        <v>50.696666666666673</v>
      </c>
      <c r="V23" s="2">
        <f t="shared" si="17"/>
        <v>47.680000000000007</v>
      </c>
    </row>
    <row r="24" spans="1:22" x14ac:dyDescent="0.2">
      <c r="A24">
        <v>8</v>
      </c>
      <c r="B24" t="s">
        <v>36</v>
      </c>
      <c r="C24" t="s">
        <v>37</v>
      </c>
      <c r="D24">
        <f t="shared" si="10"/>
        <v>54</v>
      </c>
      <c r="E24" s="2">
        <f t="shared" si="11"/>
        <v>3.333333333333333</v>
      </c>
      <c r="F24">
        <v>66</v>
      </c>
      <c r="G24" s="2">
        <f t="shared" si="12"/>
        <v>1.6666666666666665</v>
      </c>
      <c r="H24">
        <v>164</v>
      </c>
      <c r="I24" s="2">
        <f t="shared" si="13"/>
        <v>2.6666666666666665</v>
      </c>
      <c r="J24">
        <v>5.5</v>
      </c>
      <c r="K24">
        <v>133.4</v>
      </c>
      <c r="L24">
        <v>7.5</v>
      </c>
      <c r="M24">
        <v>7.5</v>
      </c>
      <c r="N24" t="s">
        <v>38</v>
      </c>
      <c r="O24" t="s">
        <v>39</v>
      </c>
      <c r="P24">
        <v>3.5</v>
      </c>
      <c r="Q24">
        <v>3.5</v>
      </c>
      <c r="R24">
        <v>0</v>
      </c>
      <c r="S24" s="2">
        <f t="shared" si="14"/>
        <v>53.283333333333339</v>
      </c>
      <c r="T24" s="2">
        <f t="shared" si="15"/>
        <v>52.616666666666667</v>
      </c>
      <c r="U24" s="2">
        <f t="shared" si="16"/>
        <v>44.283333333333331</v>
      </c>
      <c r="V24" s="2">
        <f t="shared" si="17"/>
        <v>33.700000000000003</v>
      </c>
    </row>
    <row r="25" spans="1:22" x14ac:dyDescent="0.2">
      <c r="A25">
        <v>9</v>
      </c>
      <c r="B25" t="s">
        <v>40</v>
      </c>
      <c r="C25" t="s">
        <v>41</v>
      </c>
      <c r="D25">
        <f t="shared" si="10"/>
        <v>68</v>
      </c>
      <c r="E25" s="2">
        <f t="shared" si="11"/>
        <v>7.2222222222222223</v>
      </c>
      <c r="F25">
        <v>68</v>
      </c>
      <c r="G25" s="2">
        <f t="shared" si="12"/>
        <v>3.333333333333333</v>
      </c>
      <c r="H25">
        <v>162</v>
      </c>
      <c r="I25" s="2">
        <f t="shared" si="13"/>
        <v>2.5833333333333335</v>
      </c>
      <c r="J25">
        <v>0.5</v>
      </c>
      <c r="K25">
        <v>133.9</v>
      </c>
      <c r="L25">
        <v>7.5</v>
      </c>
      <c r="M25">
        <v>0.5</v>
      </c>
      <c r="N25" t="s">
        <v>42</v>
      </c>
      <c r="O25" t="s">
        <v>16</v>
      </c>
      <c r="P25">
        <v>4.7</v>
      </c>
      <c r="Q25">
        <v>3.3</v>
      </c>
      <c r="R25">
        <v>9</v>
      </c>
      <c r="S25" s="2">
        <f t="shared" si="14"/>
        <v>50.388888888888893</v>
      </c>
      <c r="T25" s="2">
        <f t="shared" si="15"/>
        <v>51.31944444444445</v>
      </c>
      <c r="U25" s="2">
        <f t="shared" si="16"/>
        <v>45.583333333333329</v>
      </c>
      <c r="V25" s="2">
        <f t="shared" si="17"/>
        <v>36.950000000000003</v>
      </c>
    </row>
    <row r="26" spans="1:22" x14ac:dyDescent="0.2">
      <c r="A26">
        <v>10</v>
      </c>
      <c r="B26" t="s">
        <v>43</v>
      </c>
      <c r="C26" t="s">
        <v>44</v>
      </c>
      <c r="D26">
        <f t="shared" si="10"/>
        <v>51</v>
      </c>
      <c r="E26" s="2">
        <f t="shared" si="11"/>
        <v>2.5</v>
      </c>
      <c r="F26">
        <v>72</v>
      </c>
      <c r="G26" s="2">
        <f t="shared" si="12"/>
        <v>6.6666666666666661</v>
      </c>
      <c r="H26">
        <v>160</v>
      </c>
      <c r="I26" s="2">
        <f t="shared" si="13"/>
        <v>2.5</v>
      </c>
      <c r="J26">
        <v>3.3</v>
      </c>
      <c r="K26">
        <v>136.19999999999999</v>
      </c>
      <c r="L26">
        <v>7.5</v>
      </c>
      <c r="M26">
        <v>7.5</v>
      </c>
      <c r="N26" t="s">
        <v>45</v>
      </c>
      <c r="O26" t="s">
        <v>46</v>
      </c>
      <c r="P26">
        <v>1.1000000000000001</v>
      </c>
      <c r="Q26">
        <v>1</v>
      </c>
      <c r="R26">
        <v>5</v>
      </c>
      <c r="S26" s="2">
        <f t="shared" si="14"/>
        <v>49.283333333333331</v>
      </c>
      <c r="T26" s="2">
        <f t="shared" si="15"/>
        <v>50.68</v>
      </c>
      <c r="U26" s="2">
        <f t="shared" si="16"/>
        <v>51.54</v>
      </c>
      <c r="V26" s="2">
        <f t="shared" si="17"/>
        <v>47.44</v>
      </c>
    </row>
    <row r="27" spans="1:22" x14ac:dyDescent="0.2">
      <c r="A27">
        <v>11</v>
      </c>
      <c r="B27" t="s">
        <v>47</v>
      </c>
      <c r="C27" t="s">
        <v>48</v>
      </c>
      <c r="D27">
        <f t="shared" si="10"/>
        <v>49</v>
      </c>
      <c r="E27" s="2">
        <f t="shared" si="11"/>
        <v>1.9444444444444444</v>
      </c>
      <c r="F27">
        <v>68</v>
      </c>
      <c r="G27" s="2">
        <f t="shared" si="12"/>
        <v>3.333333333333333</v>
      </c>
      <c r="H27">
        <v>174</v>
      </c>
      <c r="I27" s="2">
        <f t="shared" si="13"/>
        <v>3.0833333333333335</v>
      </c>
      <c r="J27">
        <v>5.5</v>
      </c>
      <c r="K27">
        <v>130.19999999999999</v>
      </c>
      <c r="L27">
        <v>7.5</v>
      </c>
      <c r="M27">
        <v>8.1999999999999993</v>
      </c>
      <c r="N27" t="s">
        <v>49</v>
      </c>
      <c r="O27" t="s">
        <v>50</v>
      </c>
      <c r="P27">
        <v>9.3000000000000007</v>
      </c>
      <c r="Q27">
        <v>7.8</v>
      </c>
      <c r="R27">
        <v>5</v>
      </c>
      <c r="S27" s="2">
        <f t="shared" si="14"/>
        <v>75.657777777777781</v>
      </c>
      <c r="T27" s="2">
        <f t="shared" si="15"/>
        <v>75.873888888888885</v>
      </c>
      <c r="U27" s="2">
        <f t="shared" si="16"/>
        <v>66.849999999999994</v>
      </c>
      <c r="V27" s="2">
        <f t="shared" si="17"/>
        <v>49.809999999999995</v>
      </c>
    </row>
    <row r="28" spans="1:22" x14ac:dyDescent="0.2">
      <c r="A28">
        <v>12</v>
      </c>
      <c r="B28" t="s">
        <v>51</v>
      </c>
      <c r="C28" t="s">
        <v>52</v>
      </c>
      <c r="D28">
        <f t="shared" si="10"/>
        <v>64</v>
      </c>
      <c r="E28" s="2">
        <f t="shared" si="11"/>
        <v>6.1111111111111116</v>
      </c>
      <c r="F28">
        <v>68</v>
      </c>
      <c r="G28" s="2">
        <f t="shared" si="12"/>
        <v>3.333333333333333</v>
      </c>
      <c r="H28">
        <v>170</v>
      </c>
      <c r="I28" s="2">
        <f t="shared" si="13"/>
        <v>2.916666666666667</v>
      </c>
      <c r="J28">
        <v>2.1</v>
      </c>
      <c r="K28">
        <v>125.7</v>
      </c>
      <c r="L28">
        <v>7.3</v>
      </c>
      <c r="M28">
        <v>8.1</v>
      </c>
      <c r="N28" t="s">
        <v>42</v>
      </c>
      <c r="O28" t="s">
        <v>53</v>
      </c>
      <c r="P28">
        <v>3.3</v>
      </c>
      <c r="Q28">
        <v>1.7</v>
      </c>
      <c r="R28">
        <v>9</v>
      </c>
      <c r="S28" s="2">
        <f t="shared" si="14"/>
        <v>59.257777777777783</v>
      </c>
      <c r="T28" s="2">
        <f t="shared" si="15"/>
        <v>61.797222222222224</v>
      </c>
      <c r="U28" s="2">
        <f t="shared" si="16"/>
        <v>56.516666666666666</v>
      </c>
      <c r="V28" s="2">
        <f t="shared" si="17"/>
        <v>48.49</v>
      </c>
    </row>
    <row r="29" spans="1:22" x14ac:dyDescent="0.2">
      <c r="A29">
        <v>13</v>
      </c>
      <c r="B29" t="s">
        <v>54</v>
      </c>
      <c r="C29" t="s">
        <v>55</v>
      </c>
      <c r="D29">
        <f t="shared" si="10"/>
        <v>50</v>
      </c>
      <c r="E29" s="2">
        <f t="shared" si="11"/>
        <v>2.2222222222222223</v>
      </c>
      <c r="F29">
        <v>69</v>
      </c>
      <c r="G29" s="2">
        <f t="shared" si="12"/>
        <v>4.166666666666667</v>
      </c>
      <c r="H29">
        <v>174</v>
      </c>
      <c r="I29" s="2">
        <f t="shared" si="13"/>
        <v>3.0833333333333335</v>
      </c>
      <c r="J29">
        <v>7.2</v>
      </c>
      <c r="K29">
        <v>136</v>
      </c>
      <c r="L29">
        <v>7.5</v>
      </c>
      <c r="M29">
        <v>2.1</v>
      </c>
      <c r="N29" t="s">
        <v>42</v>
      </c>
      <c r="O29" t="s">
        <v>56</v>
      </c>
      <c r="P29">
        <v>8.8000000000000007</v>
      </c>
      <c r="Q29">
        <v>1.6</v>
      </c>
      <c r="R29">
        <v>4</v>
      </c>
      <c r="S29" s="2">
        <f t="shared" si="14"/>
        <v>55.385555555555563</v>
      </c>
      <c r="T29" s="2">
        <f t="shared" si="15"/>
        <v>56.969444444444449</v>
      </c>
      <c r="U29" s="2">
        <f t="shared" si="16"/>
        <v>53.593333333333341</v>
      </c>
      <c r="V29" s="2">
        <f t="shared" si="17"/>
        <v>43.88</v>
      </c>
    </row>
    <row r="30" spans="1:22" x14ac:dyDescent="0.2">
      <c r="A30">
        <v>14</v>
      </c>
      <c r="B30" t="s">
        <v>57</v>
      </c>
      <c r="C30" t="s">
        <v>58</v>
      </c>
      <c r="D30">
        <f t="shared" si="10"/>
        <v>48</v>
      </c>
      <c r="E30" s="2">
        <f t="shared" si="11"/>
        <v>1.6666666666666665</v>
      </c>
      <c r="F30">
        <v>70</v>
      </c>
      <c r="G30" s="2">
        <f t="shared" si="12"/>
        <v>5</v>
      </c>
      <c r="H30">
        <v>144</v>
      </c>
      <c r="I30" s="2">
        <f t="shared" si="13"/>
        <v>1.8333333333333333</v>
      </c>
      <c r="J30">
        <v>2.4</v>
      </c>
      <c r="K30">
        <v>134.80000000000001</v>
      </c>
      <c r="L30">
        <v>1.7</v>
      </c>
      <c r="M30">
        <v>2.1</v>
      </c>
      <c r="N30" t="s">
        <v>59</v>
      </c>
      <c r="O30" t="s">
        <v>46</v>
      </c>
      <c r="P30">
        <v>5</v>
      </c>
      <c r="Q30">
        <v>1.1000000000000001</v>
      </c>
      <c r="R30">
        <v>4</v>
      </c>
      <c r="S30" s="2">
        <f t="shared" si="14"/>
        <v>31.05</v>
      </c>
      <c r="T30" s="2">
        <f t="shared" si="15"/>
        <v>31.743333333333332</v>
      </c>
      <c r="U30" s="2">
        <f t="shared" si="16"/>
        <v>32.616666666666674</v>
      </c>
      <c r="V30" s="2">
        <f t="shared" si="17"/>
        <v>28.27</v>
      </c>
    </row>
    <row r="31" spans="1:22" x14ac:dyDescent="0.2">
      <c r="A31">
        <v>15</v>
      </c>
      <c r="B31" t="s">
        <v>60</v>
      </c>
      <c r="C31" t="s">
        <v>61</v>
      </c>
      <c r="D31">
        <f t="shared" si="10"/>
        <v>65</v>
      </c>
      <c r="E31" s="2">
        <f t="shared" si="11"/>
        <v>6.3888888888888884</v>
      </c>
      <c r="F31">
        <v>72</v>
      </c>
      <c r="G31" s="2">
        <f t="shared" si="12"/>
        <v>6.6666666666666661</v>
      </c>
      <c r="H31">
        <v>198</v>
      </c>
      <c r="I31" s="2">
        <f t="shared" si="13"/>
        <v>4.083333333333333</v>
      </c>
      <c r="J31">
        <v>6.3</v>
      </c>
      <c r="K31">
        <v>125.9</v>
      </c>
      <c r="L31">
        <v>8.8000000000000007</v>
      </c>
      <c r="M31">
        <v>1.7</v>
      </c>
      <c r="N31" t="s">
        <v>62</v>
      </c>
      <c r="O31" t="s">
        <v>56</v>
      </c>
      <c r="P31">
        <v>0.9</v>
      </c>
      <c r="Q31">
        <v>0.9</v>
      </c>
      <c r="R31">
        <v>7</v>
      </c>
      <c r="S31" s="2">
        <f t="shared" si="14"/>
        <v>52.212222222222231</v>
      </c>
      <c r="T31" s="2">
        <f t="shared" si="15"/>
        <v>55.302777777777777</v>
      </c>
      <c r="U31" s="2">
        <f t="shared" si="16"/>
        <v>55.793333333333329</v>
      </c>
      <c r="V31" s="2">
        <f t="shared" si="17"/>
        <v>52.5</v>
      </c>
    </row>
    <row r="32" spans="1:22" x14ac:dyDescent="0.2">
      <c r="A32">
        <v>16</v>
      </c>
      <c r="B32" t="s">
        <v>63</v>
      </c>
      <c r="C32" t="s">
        <v>64</v>
      </c>
      <c r="D32">
        <f t="shared" si="10"/>
        <v>52</v>
      </c>
      <c r="E32" s="2">
        <f t="shared" si="11"/>
        <v>2.7777777777777777</v>
      </c>
      <c r="F32">
        <v>76</v>
      </c>
      <c r="G32" s="2">
        <f t="shared" si="12"/>
        <v>10</v>
      </c>
      <c r="H32">
        <v>180</v>
      </c>
      <c r="I32" s="2">
        <f t="shared" si="13"/>
        <v>3.333333333333333</v>
      </c>
      <c r="J32">
        <v>7.2</v>
      </c>
      <c r="K32">
        <v>140</v>
      </c>
      <c r="L32">
        <v>4.9000000000000004</v>
      </c>
      <c r="M32">
        <v>9.8000000000000007</v>
      </c>
      <c r="N32" t="s">
        <v>65</v>
      </c>
      <c r="O32" t="s">
        <v>56</v>
      </c>
      <c r="P32">
        <v>8.8000000000000007</v>
      </c>
      <c r="Q32">
        <v>9.5</v>
      </c>
      <c r="R32">
        <v>7</v>
      </c>
      <c r="S32" s="2">
        <f t="shared" si="14"/>
        <v>86.034444444444446</v>
      </c>
      <c r="T32" s="2">
        <f t="shared" si="15"/>
        <v>86.795555555555566</v>
      </c>
      <c r="U32" s="2">
        <f t="shared" si="16"/>
        <v>83.92</v>
      </c>
      <c r="V32" s="2">
        <f t="shared" si="17"/>
        <v>68.489999999999995</v>
      </c>
    </row>
    <row r="33" spans="1:22" x14ac:dyDescent="0.2">
      <c r="A33">
        <v>17</v>
      </c>
      <c r="B33" t="s">
        <v>66</v>
      </c>
      <c r="C33" t="s">
        <v>67</v>
      </c>
      <c r="D33">
        <f t="shared" si="10"/>
        <v>56</v>
      </c>
      <c r="E33" s="2">
        <f t="shared" si="11"/>
        <v>3.8888888888888888</v>
      </c>
      <c r="F33">
        <v>70</v>
      </c>
      <c r="G33" s="2">
        <f t="shared" si="12"/>
        <v>5</v>
      </c>
      <c r="H33">
        <v>174</v>
      </c>
      <c r="I33" s="2">
        <f t="shared" si="13"/>
        <v>3.0833333333333335</v>
      </c>
      <c r="J33">
        <v>4.8</v>
      </c>
      <c r="K33">
        <v>125.7</v>
      </c>
      <c r="L33">
        <v>5.5</v>
      </c>
      <c r="M33">
        <v>0.5</v>
      </c>
      <c r="N33" t="s">
        <v>68</v>
      </c>
      <c r="O33" t="s">
        <v>69</v>
      </c>
      <c r="P33">
        <v>0.8</v>
      </c>
      <c r="Q33">
        <v>1.1000000000000001</v>
      </c>
      <c r="R33">
        <v>4</v>
      </c>
      <c r="S33" s="2">
        <f t="shared" si="14"/>
        <v>34.648888888888891</v>
      </c>
      <c r="T33" s="2">
        <f t="shared" si="15"/>
        <v>36.432777777777773</v>
      </c>
      <c r="U33" s="2">
        <f t="shared" si="16"/>
        <v>37.323333333333338</v>
      </c>
      <c r="V33" s="2">
        <f t="shared" si="17"/>
        <v>35</v>
      </c>
    </row>
    <row r="34" spans="1:22" x14ac:dyDescent="0.2">
      <c r="A34">
        <v>18</v>
      </c>
      <c r="B34" t="s">
        <v>70</v>
      </c>
      <c r="C34" t="s">
        <v>71</v>
      </c>
      <c r="D34">
        <f t="shared" si="10"/>
        <v>46</v>
      </c>
      <c r="E34" s="2">
        <f t="shared" si="11"/>
        <v>1.1111111111111112</v>
      </c>
      <c r="F34">
        <v>68</v>
      </c>
      <c r="G34" s="2">
        <f t="shared" si="12"/>
        <v>3.333333333333333</v>
      </c>
      <c r="H34">
        <v>156</v>
      </c>
      <c r="I34" s="2">
        <f t="shared" si="13"/>
        <v>2.3333333333333335</v>
      </c>
      <c r="J34">
        <v>6.7</v>
      </c>
      <c r="K34">
        <v>120.1</v>
      </c>
      <c r="L34">
        <v>3.3</v>
      </c>
      <c r="M34">
        <v>8.1999999999999993</v>
      </c>
      <c r="N34" t="s">
        <v>72</v>
      </c>
      <c r="O34" t="s">
        <v>73</v>
      </c>
      <c r="P34">
        <v>2.1</v>
      </c>
      <c r="Q34">
        <v>5</v>
      </c>
      <c r="R34">
        <v>9</v>
      </c>
      <c r="S34" s="2">
        <f t="shared" si="14"/>
        <v>53.784444444444446</v>
      </c>
      <c r="T34" s="2">
        <f t="shared" si="15"/>
        <v>59.662222222222219</v>
      </c>
      <c r="U34" s="2">
        <f t="shared" si="16"/>
        <v>59.480000000000004</v>
      </c>
      <c r="V34" s="2">
        <f t="shared" si="17"/>
        <v>53.02</v>
      </c>
    </row>
    <row r="35" spans="1:22" x14ac:dyDescent="0.2">
      <c r="A35">
        <v>19</v>
      </c>
      <c r="B35" t="s">
        <v>74</v>
      </c>
      <c r="C35" t="s">
        <v>75</v>
      </c>
      <c r="D35">
        <f t="shared" si="10"/>
        <v>54</v>
      </c>
      <c r="E35" s="2">
        <f t="shared" si="11"/>
        <v>3.333333333333333</v>
      </c>
      <c r="F35">
        <v>68.5</v>
      </c>
      <c r="G35" s="2">
        <f t="shared" si="12"/>
        <v>3.75</v>
      </c>
      <c r="H35">
        <v>175</v>
      </c>
      <c r="I35" s="2">
        <f t="shared" si="13"/>
        <v>3.125</v>
      </c>
      <c r="J35">
        <v>7.4</v>
      </c>
      <c r="K35">
        <v>133.9</v>
      </c>
      <c r="L35">
        <v>7.5</v>
      </c>
      <c r="M35">
        <v>4</v>
      </c>
      <c r="N35" t="s">
        <v>76</v>
      </c>
      <c r="O35" t="s">
        <v>77</v>
      </c>
      <c r="P35">
        <v>2.5</v>
      </c>
      <c r="Q35">
        <v>2.2999999999999998</v>
      </c>
      <c r="R35">
        <v>9</v>
      </c>
      <c r="S35" s="2">
        <f t="shared" si="14"/>
        <v>54.658333333333331</v>
      </c>
      <c r="T35" s="2">
        <f t="shared" si="15"/>
        <v>60.319166666666675</v>
      </c>
      <c r="U35" s="2">
        <f t="shared" si="16"/>
        <v>59.944999999999993</v>
      </c>
      <c r="V35" s="2">
        <f t="shared" si="17"/>
        <v>54.695</v>
      </c>
    </row>
    <row r="36" spans="1:22" x14ac:dyDescent="0.2">
      <c r="A36">
        <v>20</v>
      </c>
      <c r="B36" t="s">
        <v>78</v>
      </c>
      <c r="C36" t="s">
        <v>79</v>
      </c>
      <c r="D36">
        <f t="shared" si="10"/>
        <v>49</v>
      </c>
      <c r="E36" s="2">
        <f t="shared" si="11"/>
        <v>1.9444444444444444</v>
      </c>
      <c r="F36">
        <v>72</v>
      </c>
      <c r="G36" s="2">
        <f t="shared" si="12"/>
        <v>6.6666666666666661</v>
      </c>
      <c r="H36">
        <v>184</v>
      </c>
      <c r="I36" s="2">
        <f t="shared" si="13"/>
        <v>3.5</v>
      </c>
      <c r="J36">
        <v>8.3000000000000007</v>
      </c>
      <c r="K36">
        <v>141.5</v>
      </c>
      <c r="L36">
        <v>7.5</v>
      </c>
      <c r="M36">
        <v>0.9</v>
      </c>
      <c r="N36" t="s">
        <v>80</v>
      </c>
      <c r="O36" t="s">
        <v>81</v>
      </c>
      <c r="P36">
        <v>9.1</v>
      </c>
      <c r="Q36">
        <v>0.8</v>
      </c>
      <c r="R36">
        <v>9</v>
      </c>
      <c r="S36" s="2">
        <f t="shared" si="14"/>
        <v>59.641111111111108</v>
      </c>
      <c r="T36" s="2">
        <f t="shared" si="15"/>
        <v>64.388888888888886</v>
      </c>
      <c r="U36" s="2">
        <f t="shared" si="16"/>
        <v>66.273333333333341</v>
      </c>
      <c r="V36" s="2">
        <f t="shared" si="17"/>
        <v>59.18</v>
      </c>
    </row>
    <row r="37" spans="1:22" x14ac:dyDescent="0.2">
      <c r="A37">
        <v>21</v>
      </c>
      <c r="B37" t="s">
        <v>82</v>
      </c>
      <c r="C37" t="s">
        <v>83</v>
      </c>
      <c r="D37">
        <f t="shared" si="10"/>
        <v>51</v>
      </c>
      <c r="E37" s="2">
        <f t="shared" si="11"/>
        <v>2.5</v>
      </c>
      <c r="F37">
        <v>74</v>
      </c>
      <c r="G37" s="2">
        <f t="shared" si="12"/>
        <v>8.3333333333333339</v>
      </c>
      <c r="H37">
        <v>224</v>
      </c>
      <c r="I37" s="2">
        <f t="shared" si="13"/>
        <v>5.166666666666667</v>
      </c>
      <c r="J37">
        <v>2.6</v>
      </c>
      <c r="K37">
        <v>141.5</v>
      </c>
      <c r="L37">
        <v>7.5</v>
      </c>
      <c r="M37">
        <v>4.5</v>
      </c>
      <c r="N37" t="s">
        <v>84</v>
      </c>
      <c r="O37" t="s">
        <v>85</v>
      </c>
      <c r="P37">
        <v>7.5</v>
      </c>
      <c r="Q37">
        <v>5.8</v>
      </c>
      <c r="R37">
        <v>5</v>
      </c>
      <c r="S37" s="2">
        <f t="shared" si="14"/>
        <v>66.153333333333336</v>
      </c>
      <c r="T37" s="2">
        <f t="shared" si="15"/>
        <v>64.36</v>
      </c>
      <c r="U37" s="2">
        <f t="shared" si="16"/>
        <v>61.61333333333333</v>
      </c>
      <c r="V37" s="2">
        <f t="shared" si="17"/>
        <v>49.349999999999994</v>
      </c>
    </row>
    <row r="38" spans="1:22" x14ac:dyDescent="0.2">
      <c r="A38" t="s">
        <v>86</v>
      </c>
      <c r="B38" t="s">
        <v>87</v>
      </c>
      <c r="C38" t="s">
        <v>88</v>
      </c>
      <c r="D38">
        <f t="shared" si="10"/>
        <v>47</v>
      </c>
      <c r="E38" s="2">
        <f t="shared" si="11"/>
        <v>1.3888888888888888</v>
      </c>
      <c r="F38">
        <v>71</v>
      </c>
      <c r="G38" s="2">
        <f t="shared" si="12"/>
        <v>5.8333333333333339</v>
      </c>
      <c r="H38">
        <v>260</v>
      </c>
      <c r="I38" s="2">
        <f t="shared" si="13"/>
        <v>6.6666666666666661</v>
      </c>
      <c r="J38">
        <v>4</v>
      </c>
      <c r="K38">
        <v>130.9</v>
      </c>
      <c r="L38">
        <v>7.1</v>
      </c>
      <c r="M38">
        <v>3.7</v>
      </c>
      <c r="N38" t="s">
        <v>89</v>
      </c>
      <c r="O38" t="s">
        <v>90</v>
      </c>
      <c r="P38">
        <v>5.0999999999999996</v>
      </c>
      <c r="Q38">
        <v>4.3</v>
      </c>
      <c r="R38">
        <v>0</v>
      </c>
      <c r="S38" s="2">
        <f t="shared" si="14"/>
        <v>52.958888888888893</v>
      </c>
      <c r="T38" s="2">
        <f t="shared" si="15"/>
        <v>50.257777777777775</v>
      </c>
      <c r="U38" s="2">
        <f t="shared" si="16"/>
        <v>46.589999999999996</v>
      </c>
      <c r="V38" s="2">
        <f t="shared" si="17"/>
        <v>36.230000000000004</v>
      </c>
    </row>
    <row r="39" spans="1:22" x14ac:dyDescent="0.2">
      <c r="A39">
        <v>23</v>
      </c>
      <c r="B39" t="s">
        <v>91</v>
      </c>
      <c r="C39" t="s">
        <v>92</v>
      </c>
      <c r="D39">
        <f t="shared" si="10"/>
        <v>55</v>
      </c>
      <c r="E39" s="2">
        <f t="shared" si="11"/>
        <v>3.6111111111111112</v>
      </c>
      <c r="F39">
        <v>66</v>
      </c>
      <c r="G39" s="2">
        <f t="shared" si="12"/>
        <v>1.6666666666666665</v>
      </c>
      <c r="H39">
        <v>160</v>
      </c>
      <c r="I39" s="2">
        <f t="shared" si="13"/>
        <v>2.5</v>
      </c>
      <c r="J39">
        <v>6.7</v>
      </c>
      <c r="K39">
        <v>132.19999999999999</v>
      </c>
      <c r="L39">
        <v>8.1</v>
      </c>
      <c r="M39">
        <v>6.8</v>
      </c>
      <c r="N39" t="s">
        <v>93</v>
      </c>
      <c r="O39" t="s">
        <v>94</v>
      </c>
      <c r="P39">
        <v>1.7</v>
      </c>
      <c r="Q39">
        <v>3.8</v>
      </c>
      <c r="R39">
        <v>8</v>
      </c>
      <c r="S39" s="2">
        <f t="shared" si="14"/>
        <v>58.467777777777783</v>
      </c>
      <c r="T39" s="2">
        <f t="shared" si="15"/>
        <v>63.402222222222221</v>
      </c>
      <c r="U39" s="2">
        <f t="shared" si="16"/>
        <v>59.083333333333336</v>
      </c>
      <c r="V39" s="2">
        <f t="shared" si="17"/>
        <v>51.4</v>
      </c>
    </row>
    <row r="40" spans="1:22" x14ac:dyDescent="0.2">
      <c r="A40">
        <v>25</v>
      </c>
      <c r="B40" t="s">
        <v>95</v>
      </c>
      <c r="C40" t="s">
        <v>96</v>
      </c>
      <c r="D40">
        <f t="shared" si="10"/>
        <v>54</v>
      </c>
      <c r="E40" s="2">
        <f t="shared" si="11"/>
        <v>3.333333333333333</v>
      </c>
      <c r="F40">
        <v>67</v>
      </c>
      <c r="G40" s="2">
        <f t="shared" si="12"/>
        <v>2.5</v>
      </c>
      <c r="H40">
        <v>199</v>
      </c>
      <c r="I40" s="2">
        <f t="shared" si="13"/>
        <v>4.125</v>
      </c>
      <c r="J40">
        <v>5.3</v>
      </c>
      <c r="K40">
        <v>130.19999999999999</v>
      </c>
      <c r="L40">
        <v>7.5</v>
      </c>
      <c r="M40">
        <v>7.5</v>
      </c>
      <c r="N40" t="s">
        <v>72</v>
      </c>
      <c r="O40" t="s">
        <v>85</v>
      </c>
      <c r="P40">
        <v>9.1999999999999993</v>
      </c>
      <c r="Q40">
        <v>8</v>
      </c>
      <c r="R40">
        <v>8</v>
      </c>
      <c r="S40" s="2">
        <f t="shared" si="14"/>
        <v>78.928333333333342</v>
      </c>
      <c r="T40" s="2">
        <f t="shared" si="15"/>
        <v>80.609166666666667</v>
      </c>
      <c r="U40" s="2">
        <f t="shared" si="16"/>
        <v>70.940000000000012</v>
      </c>
      <c r="V40" s="2">
        <f t="shared" si="17"/>
        <v>53.734999999999999</v>
      </c>
    </row>
    <row r="41" spans="1:22" x14ac:dyDescent="0.2">
      <c r="A41">
        <v>26</v>
      </c>
      <c r="B41" t="s">
        <v>97</v>
      </c>
      <c r="C41" t="s">
        <v>98</v>
      </c>
      <c r="D41">
        <f t="shared" si="10"/>
        <v>42</v>
      </c>
      <c r="E41" s="2">
        <f t="shared" si="11"/>
        <v>0</v>
      </c>
      <c r="F41">
        <v>70</v>
      </c>
      <c r="G41" s="2">
        <f t="shared" si="12"/>
        <v>5</v>
      </c>
      <c r="H41">
        <v>210</v>
      </c>
      <c r="I41" s="2">
        <f t="shared" si="13"/>
        <v>4.583333333333333</v>
      </c>
      <c r="J41">
        <v>8.1999999999999993</v>
      </c>
      <c r="K41">
        <v>142.30000000000001</v>
      </c>
      <c r="L41">
        <v>1.5</v>
      </c>
      <c r="M41">
        <v>5.5</v>
      </c>
      <c r="N41" t="s">
        <v>38</v>
      </c>
      <c r="O41" t="s">
        <v>99</v>
      </c>
      <c r="P41">
        <v>9.3000000000000007</v>
      </c>
      <c r="Q41">
        <v>8.9</v>
      </c>
      <c r="R41">
        <v>10</v>
      </c>
      <c r="S41" s="2">
        <f t="shared" si="14"/>
        <v>69.143333333333345</v>
      </c>
      <c r="T41" s="2">
        <f t="shared" si="15"/>
        <v>73.995000000000005</v>
      </c>
      <c r="U41" s="2">
        <f t="shared" si="16"/>
        <v>72.476666666666659</v>
      </c>
      <c r="V41" s="2">
        <f t="shared" si="17"/>
        <v>59.22</v>
      </c>
    </row>
    <row r="42" spans="1:22" x14ac:dyDescent="0.2">
      <c r="A42">
        <v>27</v>
      </c>
      <c r="B42" t="s">
        <v>100</v>
      </c>
      <c r="C42" t="s">
        <v>101</v>
      </c>
      <c r="D42">
        <f t="shared" si="10"/>
        <v>51</v>
      </c>
      <c r="E42" s="2">
        <f t="shared" si="11"/>
        <v>2.5</v>
      </c>
      <c r="F42">
        <v>71.5</v>
      </c>
      <c r="G42" s="2">
        <f t="shared" si="12"/>
        <v>6.25</v>
      </c>
      <c r="H42">
        <v>340</v>
      </c>
      <c r="I42" s="2">
        <f t="shared" si="13"/>
        <v>10</v>
      </c>
      <c r="J42">
        <v>0.5</v>
      </c>
      <c r="K42">
        <v>126.9</v>
      </c>
      <c r="L42">
        <v>1.8</v>
      </c>
      <c r="M42">
        <v>1.2</v>
      </c>
      <c r="N42" t="s">
        <v>102</v>
      </c>
      <c r="O42" t="s">
        <v>103</v>
      </c>
      <c r="P42">
        <v>2.8</v>
      </c>
      <c r="Q42">
        <v>4.0999999999999996</v>
      </c>
      <c r="R42">
        <v>0</v>
      </c>
      <c r="S42" s="2">
        <f t="shared" si="14"/>
        <v>35.93</v>
      </c>
      <c r="T42" s="2">
        <f t="shared" si="15"/>
        <v>31.869999999999997</v>
      </c>
      <c r="U42" s="2">
        <f t="shared" si="16"/>
        <v>30.244999999999997</v>
      </c>
      <c r="V42" s="2">
        <f t="shared" si="17"/>
        <v>23</v>
      </c>
    </row>
    <row r="43" spans="1:22" x14ac:dyDescent="0.2">
      <c r="A43">
        <v>28</v>
      </c>
      <c r="B43" t="s">
        <v>104</v>
      </c>
      <c r="C43" t="s">
        <v>105</v>
      </c>
      <c r="D43">
        <f t="shared" si="10"/>
        <v>56</v>
      </c>
      <c r="E43" s="2">
        <f t="shared" si="11"/>
        <v>3.8888888888888888</v>
      </c>
      <c r="F43">
        <v>71</v>
      </c>
      <c r="G43" s="2">
        <f t="shared" si="12"/>
        <v>5.8333333333333339</v>
      </c>
      <c r="H43">
        <v>170</v>
      </c>
      <c r="I43" s="2">
        <f t="shared" si="13"/>
        <v>2.916666666666667</v>
      </c>
      <c r="J43">
        <v>0.7</v>
      </c>
      <c r="K43">
        <v>145.1</v>
      </c>
      <c r="L43">
        <v>6.5</v>
      </c>
      <c r="M43">
        <v>0.8</v>
      </c>
      <c r="N43" t="s">
        <v>106</v>
      </c>
      <c r="O43" t="s">
        <v>31</v>
      </c>
      <c r="P43">
        <v>3.2</v>
      </c>
      <c r="Q43">
        <v>5.5</v>
      </c>
      <c r="R43">
        <v>0</v>
      </c>
      <c r="S43" s="2">
        <f t="shared" si="14"/>
        <v>41.338888888888896</v>
      </c>
      <c r="T43" s="2">
        <f t="shared" si="15"/>
        <v>37.062777777777782</v>
      </c>
      <c r="U43" s="2">
        <f t="shared" si="16"/>
        <v>32.51</v>
      </c>
      <c r="V43" s="2">
        <f t="shared" si="17"/>
        <v>23.430000000000007</v>
      </c>
    </row>
    <row r="44" spans="1:22" x14ac:dyDescent="0.2">
      <c r="A44">
        <v>29</v>
      </c>
      <c r="B44" t="s">
        <v>107</v>
      </c>
      <c r="C44" t="s">
        <v>108</v>
      </c>
      <c r="D44">
        <f t="shared" si="10"/>
        <v>55</v>
      </c>
      <c r="E44" s="2">
        <f t="shared" si="11"/>
        <v>3.6111111111111112</v>
      </c>
      <c r="F44">
        <v>72</v>
      </c>
      <c r="G44" s="2">
        <f t="shared" si="12"/>
        <v>6.6666666666666661</v>
      </c>
      <c r="H44">
        <v>173</v>
      </c>
      <c r="I44" s="2">
        <f t="shared" si="13"/>
        <v>3.0416666666666665</v>
      </c>
      <c r="J44">
        <v>0.7</v>
      </c>
      <c r="K44">
        <v>118.2</v>
      </c>
      <c r="L44">
        <v>8.8000000000000007</v>
      </c>
      <c r="M44">
        <v>2.1</v>
      </c>
      <c r="N44" t="s">
        <v>109</v>
      </c>
      <c r="O44" t="s">
        <v>16</v>
      </c>
      <c r="P44">
        <v>5.5</v>
      </c>
      <c r="Q44">
        <v>1.7</v>
      </c>
      <c r="R44">
        <v>0</v>
      </c>
      <c r="S44" s="2">
        <f t="shared" si="14"/>
        <v>45.699444444444445</v>
      </c>
      <c r="T44" s="2">
        <f t="shared" si="15"/>
        <v>41.369722222222222</v>
      </c>
      <c r="U44" s="2">
        <f t="shared" si="16"/>
        <v>37.446666666666665</v>
      </c>
      <c r="V44" s="2">
        <f t="shared" si="17"/>
        <v>28.794999999999998</v>
      </c>
    </row>
    <row r="45" spans="1:22" x14ac:dyDescent="0.2">
      <c r="A45">
        <v>30</v>
      </c>
      <c r="B45" t="s">
        <v>110</v>
      </c>
      <c r="C45" t="s">
        <v>111</v>
      </c>
      <c r="D45">
        <f t="shared" si="10"/>
        <v>51</v>
      </c>
      <c r="E45" s="2">
        <f t="shared" si="11"/>
        <v>2.5</v>
      </c>
      <c r="F45">
        <v>70</v>
      </c>
      <c r="G45" s="2">
        <f t="shared" si="12"/>
        <v>5</v>
      </c>
      <c r="H45">
        <v>148</v>
      </c>
      <c r="I45" s="2">
        <f t="shared" si="13"/>
        <v>2</v>
      </c>
      <c r="J45">
        <v>4.3</v>
      </c>
      <c r="K45">
        <v>127.1</v>
      </c>
      <c r="L45">
        <v>1.5</v>
      </c>
      <c r="M45">
        <v>3.2</v>
      </c>
      <c r="N45" t="s">
        <v>112</v>
      </c>
      <c r="O45" t="s">
        <v>85</v>
      </c>
      <c r="P45">
        <v>9.8000000000000007</v>
      </c>
      <c r="Q45">
        <v>5.0999999999999996</v>
      </c>
      <c r="R45">
        <v>0</v>
      </c>
      <c r="S45" s="2">
        <f t="shared" si="14"/>
        <v>47.77000000000001</v>
      </c>
      <c r="T45" s="2">
        <f t="shared" si="15"/>
        <v>45.09</v>
      </c>
      <c r="U45" s="2">
        <f t="shared" si="16"/>
        <v>39.39</v>
      </c>
      <c r="V45" s="2">
        <f t="shared" si="17"/>
        <v>26.839999999999996</v>
      </c>
    </row>
    <row r="46" spans="1:22" x14ac:dyDescent="0.2">
      <c r="A46">
        <v>31</v>
      </c>
      <c r="B46" t="s">
        <v>113</v>
      </c>
      <c r="C46" t="s">
        <v>114</v>
      </c>
      <c r="D46">
        <f t="shared" si="10"/>
        <v>54</v>
      </c>
      <c r="E46" s="2">
        <f t="shared" si="11"/>
        <v>3.333333333333333</v>
      </c>
      <c r="F46">
        <v>71.5</v>
      </c>
      <c r="G46" s="2">
        <f t="shared" si="12"/>
        <v>6.25</v>
      </c>
      <c r="H46">
        <v>187</v>
      </c>
      <c r="I46" s="2">
        <f t="shared" si="13"/>
        <v>3.625</v>
      </c>
      <c r="J46">
        <v>6.9</v>
      </c>
      <c r="K46">
        <v>129.80000000000001</v>
      </c>
      <c r="L46">
        <v>8.8000000000000007</v>
      </c>
      <c r="M46">
        <v>1.1000000000000001</v>
      </c>
      <c r="N46" t="s">
        <v>115</v>
      </c>
      <c r="O46" t="s">
        <v>99</v>
      </c>
      <c r="P46">
        <v>0.9</v>
      </c>
      <c r="Q46">
        <v>2.1</v>
      </c>
      <c r="R46">
        <v>0</v>
      </c>
      <c r="S46" s="2">
        <f t="shared" si="14"/>
        <v>43.468333333333334</v>
      </c>
      <c r="T46" s="2">
        <f t="shared" si="15"/>
        <v>43.159166666666664</v>
      </c>
      <c r="U46" s="2">
        <f t="shared" si="16"/>
        <v>42.664999999999999</v>
      </c>
      <c r="V46" s="2">
        <f t="shared" si="17"/>
        <v>38.135000000000005</v>
      </c>
    </row>
    <row r="47" spans="1:22" x14ac:dyDescent="0.2">
      <c r="A47">
        <v>32</v>
      </c>
      <c r="B47" t="s">
        <v>116</v>
      </c>
      <c r="C47" t="s">
        <v>117</v>
      </c>
      <c r="D47">
        <f t="shared" si="10"/>
        <v>51</v>
      </c>
      <c r="E47" s="2">
        <f t="shared" si="11"/>
        <v>2.5</v>
      </c>
      <c r="F47">
        <v>74</v>
      </c>
      <c r="G47" s="2">
        <f t="shared" si="12"/>
        <v>8.3333333333333339</v>
      </c>
      <c r="H47">
        <v>188</v>
      </c>
      <c r="I47" s="2">
        <f t="shared" si="13"/>
        <v>3.6666666666666665</v>
      </c>
      <c r="J47">
        <v>0.5</v>
      </c>
      <c r="K47">
        <v>133.5</v>
      </c>
      <c r="L47">
        <v>8.8000000000000007</v>
      </c>
      <c r="M47">
        <v>9.9</v>
      </c>
      <c r="N47" t="s">
        <v>118</v>
      </c>
      <c r="O47" t="s">
        <v>119</v>
      </c>
      <c r="P47">
        <v>9.5</v>
      </c>
      <c r="Q47">
        <v>7.6</v>
      </c>
      <c r="R47">
        <v>0</v>
      </c>
      <c r="S47" s="2">
        <f t="shared" si="14"/>
        <v>76.863333333333344</v>
      </c>
      <c r="T47" s="2">
        <f t="shared" si="15"/>
        <v>70.28</v>
      </c>
      <c r="U47" s="2">
        <f t="shared" si="16"/>
        <v>61.353333333333332</v>
      </c>
      <c r="V47" s="2">
        <f t="shared" si="17"/>
        <v>43.13000000000001</v>
      </c>
    </row>
    <row r="48" spans="1:22" x14ac:dyDescent="0.2">
      <c r="A48">
        <v>33</v>
      </c>
      <c r="B48" t="s">
        <v>120</v>
      </c>
      <c r="C48" t="s">
        <v>121</v>
      </c>
      <c r="D48">
        <f t="shared" si="10"/>
        <v>60</v>
      </c>
      <c r="E48" s="2">
        <f t="shared" si="11"/>
        <v>5</v>
      </c>
      <c r="F48">
        <v>69</v>
      </c>
      <c r="G48" s="2">
        <f t="shared" si="12"/>
        <v>4.166666666666667</v>
      </c>
      <c r="H48">
        <v>167</v>
      </c>
      <c r="I48" s="2">
        <f t="shared" si="13"/>
        <v>2.791666666666667</v>
      </c>
      <c r="J48">
        <v>4.0999999999999996</v>
      </c>
      <c r="K48">
        <v>127.6</v>
      </c>
      <c r="L48">
        <v>9.1</v>
      </c>
      <c r="M48">
        <v>9.1999999999999993</v>
      </c>
      <c r="N48" t="s">
        <v>34</v>
      </c>
      <c r="O48" t="s">
        <v>122</v>
      </c>
      <c r="P48">
        <v>2.8</v>
      </c>
      <c r="Q48">
        <v>3.8</v>
      </c>
      <c r="R48">
        <v>7</v>
      </c>
      <c r="S48" s="2">
        <f t="shared" si="14"/>
        <v>66.894999999999996</v>
      </c>
      <c r="T48" s="2">
        <f t="shared" si="15"/>
        <v>68.802499999999995</v>
      </c>
      <c r="U48" s="2">
        <f t="shared" si="16"/>
        <v>63.103333333333325</v>
      </c>
      <c r="V48" s="2">
        <f t="shared" si="17"/>
        <v>53.335000000000001</v>
      </c>
    </row>
    <row r="49" spans="1:22" x14ac:dyDescent="0.2">
      <c r="A49">
        <v>34</v>
      </c>
      <c r="B49" t="s">
        <v>123</v>
      </c>
      <c r="C49" t="s">
        <v>124</v>
      </c>
      <c r="D49">
        <f t="shared" si="10"/>
        <v>62</v>
      </c>
      <c r="E49" s="2">
        <f t="shared" si="11"/>
        <v>5.5555555555555554</v>
      </c>
      <c r="F49">
        <v>70.5</v>
      </c>
      <c r="G49" s="2">
        <f t="shared" si="12"/>
        <v>5.4166666666666661</v>
      </c>
      <c r="H49">
        <v>171</v>
      </c>
      <c r="I49" s="2">
        <f t="shared" si="13"/>
        <v>2.9583333333333335</v>
      </c>
      <c r="J49">
        <v>4</v>
      </c>
      <c r="K49">
        <v>131.9</v>
      </c>
      <c r="L49">
        <v>7.7</v>
      </c>
      <c r="M49">
        <v>7.7</v>
      </c>
      <c r="N49" t="s">
        <v>11</v>
      </c>
      <c r="O49" t="s">
        <v>119</v>
      </c>
      <c r="P49">
        <v>5.5</v>
      </c>
      <c r="Q49">
        <v>8.8000000000000007</v>
      </c>
      <c r="R49">
        <v>9</v>
      </c>
      <c r="S49" s="2">
        <f t="shared" si="14"/>
        <v>78.143888888888895</v>
      </c>
      <c r="T49" s="2">
        <f t="shared" si="15"/>
        <v>79.4236111111111</v>
      </c>
      <c r="U49" s="2">
        <f t="shared" si="16"/>
        <v>72.188333333333333</v>
      </c>
      <c r="V49" s="2">
        <f t="shared" si="17"/>
        <v>57.695</v>
      </c>
    </row>
    <row r="50" spans="1:22" x14ac:dyDescent="0.2">
      <c r="A50">
        <v>35</v>
      </c>
      <c r="B50" t="s">
        <v>125</v>
      </c>
      <c r="C50" t="s">
        <v>126</v>
      </c>
      <c r="D50">
        <f t="shared" si="10"/>
        <v>43</v>
      </c>
      <c r="E50" s="2">
        <f t="shared" si="11"/>
        <v>0.27777777777777779</v>
      </c>
      <c r="F50">
        <v>73</v>
      </c>
      <c r="G50" s="2">
        <f t="shared" si="12"/>
        <v>7.5</v>
      </c>
      <c r="H50">
        <v>173</v>
      </c>
      <c r="I50" s="2">
        <f t="shared" si="13"/>
        <v>3.0416666666666665</v>
      </c>
      <c r="J50">
        <v>1.7</v>
      </c>
      <c r="K50">
        <v>150.69999999999999</v>
      </c>
      <c r="L50">
        <v>6.9</v>
      </c>
      <c r="M50">
        <v>3.3</v>
      </c>
      <c r="N50" t="s">
        <v>127</v>
      </c>
      <c r="O50" t="s">
        <v>35</v>
      </c>
      <c r="P50">
        <v>9.3000000000000007</v>
      </c>
      <c r="Q50">
        <v>7.3</v>
      </c>
      <c r="R50">
        <v>9</v>
      </c>
      <c r="S50" s="2">
        <f t="shared" si="14"/>
        <v>65.052777777777777</v>
      </c>
      <c r="T50" s="2">
        <f t="shared" si="15"/>
        <v>65.433055555555555</v>
      </c>
      <c r="U50" s="2">
        <f t="shared" si="16"/>
        <v>64.236666666666665</v>
      </c>
      <c r="V50" s="2">
        <f t="shared" si="17"/>
        <v>51.424999999999997</v>
      </c>
    </row>
    <row r="51" spans="1:22" x14ac:dyDescent="0.2">
      <c r="A51">
        <v>36</v>
      </c>
      <c r="B51" t="s">
        <v>128</v>
      </c>
      <c r="C51" t="s">
        <v>129</v>
      </c>
      <c r="D51">
        <f t="shared" si="10"/>
        <v>55</v>
      </c>
      <c r="E51" s="2">
        <f t="shared" si="11"/>
        <v>3.6111111111111112</v>
      </c>
      <c r="F51">
        <v>75.5</v>
      </c>
      <c r="G51" s="2">
        <f t="shared" si="12"/>
        <v>9.5833333333333339</v>
      </c>
      <c r="H51">
        <v>200</v>
      </c>
      <c r="I51" s="2">
        <f t="shared" si="13"/>
        <v>4.166666666666667</v>
      </c>
      <c r="J51">
        <v>5.6</v>
      </c>
      <c r="K51">
        <v>127.5</v>
      </c>
      <c r="L51">
        <v>2.7</v>
      </c>
      <c r="M51">
        <v>1</v>
      </c>
      <c r="N51" t="s">
        <v>34</v>
      </c>
      <c r="O51" t="s">
        <v>130</v>
      </c>
      <c r="P51">
        <v>0.8</v>
      </c>
      <c r="Q51">
        <v>8.6999999999999993</v>
      </c>
      <c r="R51">
        <v>2</v>
      </c>
      <c r="S51" s="2">
        <f t="shared" si="14"/>
        <v>47.097777777777779</v>
      </c>
      <c r="T51" s="2">
        <f t="shared" si="15"/>
        <v>45.87222222222222</v>
      </c>
      <c r="U51" s="2">
        <f t="shared" si="16"/>
        <v>47.251666666666658</v>
      </c>
      <c r="V51" s="2">
        <f t="shared" si="17"/>
        <v>40.46</v>
      </c>
    </row>
    <row r="52" spans="1:22" x14ac:dyDescent="0.2">
      <c r="A52">
        <v>37</v>
      </c>
      <c r="B52" t="s">
        <v>131</v>
      </c>
      <c r="C52" t="s">
        <v>132</v>
      </c>
      <c r="D52">
        <f t="shared" si="10"/>
        <v>56</v>
      </c>
      <c r="E52" s="2">
        <f t="shared" si="11"/>
        <v>3.8888888888888888</v>
      </c>
      <c r="F52">
        <v>71.5</v>
      </c>
      <c r="G52" s="2">
        <f t="shared" si="12"/>
        <v>6.25</v>
      </c>
      <c r="H52">
        <v>175</v>
      </c>
      <c r="I52" s="2">
        <f t="shared" si="13"/>
        <v>3.125</v>
      </c>
      <c r="J52">
        <v>3.3</v>
      </c>
      <c r="K52">
        <v>131</v>
      </c>
      <c r="L52">
        <v>2.8</v>
      </c>
      <c r="M52">
        <v>1</v>
      </c>
      <c r="N52" t="s">
        <v>106</v>
      </c>
      <c r="O52" t="s">
        <v>133</v>
      </c>
      <c r="P52">
        <v>3.8</v>
      </c>
      <c r="Q52">
        <v>1.8</v>
      </c>
      <c r="R52">
        <v>2</v>
      </c>
      <c r="S52" s="2">
        <f t="shared" si="14"/>
        <v>34.770555555555561</v>
      </c>
      <c r="T52" s="2">
        <f t="shared" si="15"/>
        <v>33.880277777777778</v>
      </c>
      <c r="U52" s="2">
        <f t="shared" si="16"/>
        <v>33.601666666666667</v>
      </c>
      <c r="V52" s="2">
        <f t="shared" si="17"/>
        <v>28.795000000000002</v>
      </c>
    </row>
    <row r="53" spans="1:22" x14ac:dyDescent="0.2">
      <c r="A53">
        <v>38</v>
      </c>
      <c r="B53" t="s">
        <v>134</v>
      </c>
      <c r="C53" t="s">
        <v>135</v>
      </c>
      <c r="D53">
        <f t="shared" si="10"/>
        <v>61</v>
      </c>
      <c r="E53" s="2">
        <f t="shared" si="11"/>
        <v>5.2777777777777777</v>
      </c>
      <c r="F53">
        <v>72</v>
      </c>
      <c r="G53" s="2">
        <f t="shared" si="12"/>
        <v>6.6666666666666661</v>
      </c>
      <c r="H53">
        <v>190</v>
      </c>
      <c r="I53" s="2">
        <f t="shared" si="13"/>
        <v>3.75</v>
      </c>
      <c r="J53">
        <v>7.8</v>
      </c>
      <c r="K53">
        <v>127.1</v>
      </c>
      <c r="L53">
        <v>3.1</v>
      </c>
      <c r="M53">
        <v>2.4</v>
      </c>
      <c r="N53" t="s">
        <v>136</v>
      </c>
      <c r="O53" t="s">
        <v>137</v>
      </c>
      <c r="P53">
        <v>1.8</v>
      </c>
      <c r="Q53">
        <v>4.7</v>
      </c>
      <c r="R53">
        <v>7</v>
      </c>
      <c r="S53" s="2">
        <f t="shared" si="14"/>
        <v>51.074444444444453</v>
      </c>
      <c r="T53" s="2">
        <f t="shared" si="15"/>
        <v>54.800555555555547</v>
      </c>
      <c r="U53" s="2">
        <f t="shared" si="16"/>
        <v>55.663333333333334</v>
      </c>
      <c r="V53" s="2">
        <f t="shared" si="17"/>
        <v>50.660000000000004</v>
      </c>
    </row>
    <row r="54" spans="1:22" x14ac:dyDescent="0.2">
      <c r="A54">
        <v>39</v>
      </c>
      <c r="B54" t="s">
        <v>138</v>
      </c>
      <c r="C54" t="s">
        <v>139</v>
      </c>
      <c r="D54">
        <f t="shared" si="10"/>
        <v>52</v>
      </c>
      <c r="E54" s="2">
        <f t="shared" si="11"/>
        <v>2.7777777777777777</v>
      </c>
      <c r="F54">
        <v>69.5</v>
      </c>
      <c r="G54" s="2">
        <f t="shared" si="12"/>
        <v>4.583333333333333</v>
      </c>
      <c r="H54">
        <v>190</v>
      </c>
      <c r="I54" s="2">
        <f t="shared" si="13"/>
        <v>3.75</v>
      </c>
      <c r="J54">
        <v>6.9</v>
      </c>
      <c r="K54">
        <v>119.3</v>
      </c>
      <c r="L54">
        <v>2.2999999999999998</v>
      </c>
      <c r="M54">
        <v>1</v>
      </c>
      <c r="N54" t="s">
        <v>80</v>
      </c>
      <c r="O54" t="s">
        <v>56</v>
      </c>
      <c r="P54">
        <v>0.8</v>
      </c>
      <c r="Q54">
        <v>2.1</v>
      </c>
      <c r="R54">
        <v>5</v>
      </c>
      <c r="S54" s="2">
        <f t="shared" si="14"/>
        <v>33.487777777777779</v>
      </c>
      <c r="T54" s="2">
        <f t="shared" si="15"/>
        <v>37.280555555555559</v>
      </c>
      <c r="U54" s="2">
        <f t="shared" si="16"/>
        <v>39.748333333333335</v>
      </c>
      <c r="V54" s="2">
        <f t="shared" si="17"/>
        <v>37.92</v>
      </c>
    </row>
    <row r="55" spans="1:22" x14ac:dyDescent="0.2">
      <c r="A55">
        <v>40</v>
      </c>
      <c r="B55" t="s">
        <v>140</v>
      </c>
      <c r="C55" t="s">
        <v>141</v>
      </c>
      <c r="D55">
        <f t="shared" si="10"/>
        <v>68</v>
      </c>
      <c r="E55" s="2">
        <f t="shared" si="11"/>
        <v>7.2222222222222223</v>
      </c>
      <c r="F55">
        <v>73</v>
      </c>
      <c r="G55" s="2">
        <f t="shared" si="12"/>
        <v>7.5</v>
      </c>
      <c r="H55">
        <v>185</v>
      </c>
      <c r="I55" s="2">
        <f t="shared" si="13"/>
        <v>3.541666666666667</v>
      </c>
      <c r="J55">
        <v>5.5</v>
      </c>
      <c r="K55">
        <v>130.30000000000001</v>
      </c>
      <c r="L55">
        <v>4.2</v>
      </c>
      <c r="M55">
        <v>5.4</v>
      </c>
      <c r="N55" t="s">
        <v>19</v>
      </c>
      <c r="O55" t="s">
        <v>142</v>
      </c>
      <c r="P55">
        <v>9.3000000000000007</v>
      </c>
      <c r="Q55">
        <v>9.3000000000000007</v>
      </c>
      <c r="R55">
        <v>3</v>
      </c>
      <c r="S55" s="2">
        <f t="shared" si="14"/>
        <v>76.280555555555566</v>
      </c>
      <c r="T55" s="2">
        <f t="shared" si="15"/>
        <v>73.391944444444448</v>
      </c>
      <c r="U55" s="2">
        <f t="shared" si="16"/>
        <v>64.13000000000001</v>
      </c>
      <c r="V55" s="2">
        <f t="shared" si="17"/>
        <v>46.894999999999996</v>
      </c>
    </row>
    <row r="56" spans="1:22" x14ac:dyDescent="0.2">
      <c r="A56">
        <v>41</v>
      </c>
      <c r="B56" t="s">
        <v>143</v>
      </c>
      <c r="C56" t="s">
        <v>144</v>
      </c>
      <c r="D56">
        <f t="shared" si="10"/>
        <v>64</v>
      </c>
      <c r="E56" s="2">
        <f t="shared" si="11"/>
        <v>6.1111111111111116</v>
      </c>
      <c r="F56">
        <v>71.5</v>
      </c>
      <c r="G56" s="2">
        <f t="shared" si="12"/>
        <v>6.25</v>
      </c>
      <c r="H56">
        <v>191</v>
      </c>
      <c r="I56" s="2">
        <f t="shared" si="13"/>
        <v>3.7916666666666665</v>
      </c>
      <c r="J56">
        <v>4.9000000000000004</v>
      </c>
      <c r="K56">
        <v>130.1</v>
      </c>
      <c r="L56">
        <v>8.8000000000000007</v>
      </c>
      <c r="M56">
        <v>8.6</v>
      </c>
      <c r="N56" t="s">
        <v>84</v>
      </c>
      <c r="O56" t="s">
        <v>145</v>
      </c>
      <c r="P56">
        <v>8.5</v>
      </c>
      <c r="Q56">
        <v>6</v>
      </c>
      <c r="R56">
        <v>9</v>
      </c>
      <c r="S56" s="2">
        <f t="shared" si="14"/>
        <v>85.296111111111131</v>
      </c>
      <c r="T56" s="2">
        <f t="shared" si="15"/>
        <v>86.514722222222218</v>
      </c>
      <c r="U56" s="2">
        <f t="shared" si="16"/>
        <v>78.981666666666669</v>
      </c>
      <c r="V56" s="2">
        <f t="shared" si="17"/>
        <v>63.735000000000007</v>
      </c>
    </row>
    <row r="57" spans="1:22" x14ac:dyDescent="0.2">
      <c r="A57">
        <v>42</v>
      </c>
      <c r="B57" t="s">
        <v>146</v>
      </c>
      <c r="C57" t="s">
        <v>147</v>
      </c>
      <c r="D57">
        <f t="shared" si="10"/>
        <v>46</v>
      </c>
      <c r="E57" s="2">
        <f t="shared" si="11"/>
        <v>1.1111111111111112</v>
      </c>
      <c r="F57">
        <v>74</v>
      </c>
      <c r="G57" s="2">
        <f t="shared" si="12"/>
        <v>8.3333333333333339</v>
      </c>
      <c r="H57">
        <v>223</v>
      </c>
      <c r="I57" s="2">
        <f t="shared" si="13"/>
        <v>5.125</v>
      </c>
      <c r="J57">
        <v>5</v>
      </c>
      <c r="K57">
        <v>128.80000000000001</v>
      </c>
      <c r="L57">
        <v>2.8</v>
      </c>
      <c r="M57">
        <v>2.4</v>
      </c>
      <c r="N57" t="s">
        <v>148</v>
      </c>
      <c r="O57" t="s">
        <v>149</v>
      </c>
      <c r="P57">
        <v>9.4</v>
      </c>
      <c r="Q57">
        <v>0.5</v>
      </c>
      <c r="R57">
        <v>0</v>
      </c>
      <c r="S57" s="2">
        <f t="shared" si="14"/>
        <v>44.926111111111119</v>
      </c>
      <c r="T57" s="2">
        <f t="shared" si="15"/>
        <v>42.764722222222225</v>
      </c>
      <c r="U57" s="2">
        <f t="shared" si="16"/>
        <v>43.353333333333332</v>
      </c>
      <c r="V57" s="2">
        <f t="shared" si="17"/>
        <v>35.515000000000008</v>
      </c>
    </row>
    <row r="58" spans="1:22" x14ac:dyDescent="0.2">
      <c r="A58">
        <v>43</v>
      </c>
      <c r="B58" t="s">
        <v>150</v>
      </c>
      <c r="C58" t="s">
        <v>151</v>
      </c>
      <c r="D58">
        <f t="shared" si="10"/>
        <v>54</v>
      </c>
      <c r="E58" s="2">
        <f t="shared" si="11"/>
        <v>3.333333333333333</v>
      </c>
      <c r="F58">
        <v>74</v>
      </c>
      <c r="G58" s="2">
        <f t="shared" si="12"/>
        <v>8.3333333333333339</v>
      </c>
      <c r="H58">
        <v>196</v>
      </c>
      <c r="I58" s="2">
        <f t="shared" si="13"/>
        <v>4</v>
      </c>
      <c r="J58">
        <v>9.6999999999999993</v>
      </c>
      <c r="K58">
        <v>124.9</v>
      </c>
      <c r="L58">
        <v>6.5</v>
      </c>
      <c r="M58">
        <v>3.7</v>
      </c>
      <c r="N58" t="s">
        <v>152</v>
      </c>
      <c r="O58" t="s">
        <v>153</v>
      </c>
      <c r="P58">
        <v>7.2</v>
      </c>
      <c r="Q58">
        <v>5.8</v>
      </c>
      <c r="R58">
        <v>2</v>
      </c>
      <c r="S58" s="2">
        <f t="shared" si="14"/>
        <v>67.73</v>
      </c>
      <c r="T58" s="2">
        <f t="shared" si="15"/>
        <v>67.796666666666667</v>
      </c>
      <c r="U58" s="2">
        <f t="shared" si="16"/>
        <v>65.41</v>
      </c>
      <c r="V58" s="2">
        <f t="shared" si="17"/>
        <v>54.019999999999989</v>
      </c>
    </row>
    <row r="59" spans="1:22" x14ac:dyDescent="0.2">
      <c r="A59">
        <v>44</v>
      </c>
      <c r="B59" t="s">
        <v>154</v>
      </c>
      <c r="C59" t="s">
        <v>155</v>
      </c>
      <c r="D59">
        <f t="shared" si="10"/>
        <v>47</v>
      </c>
      <c r="E59" s="2">
        <f t="shared" si="11"/>
        <v>1.3888888888888888</v>
      </c>
      <c r="F59">
        <v>73</v>
      </c>
      <c r="G59" s="2">
        <f t="shared" si="12"/>
        <v>7.5</v>
      </c>
      <c r="H59">
        <v>180</v>
      </c>
      <c r="I59" s="2">
        <f t="shared" si="13"/>
        <v>3.333333333333333</v>
      </c>
      <c r="J59">
        <v>7.1</v>
      </c>
      <c r="K59">
        <v>130.4</v>
      </c>
      <c r="L59">
        <v>9.9</v>
      </c>
      <c r="M59">
        <v>8.1</v>
      </c>
      <c r="N59" t="s">
        <v>156</v>
      </c>
      <c r="O59" t="s">
        <v>157</v>
      </c>
      <c r="P59">
        <v>8.8000000000000007</v>
      </c>
      <c r="Q59">
        <v>7.4</v>
      </c>
      <c r="R59">
        <v>0</v>
      </c>
      <c r="S59" s="2">
        <f t="shared" si="14"/>
        <v>78.888888888888886</v>
      </c>
      <c r="T59" s="2">
        <f t="shared" si="15"/>
        <v>76.097777777777793</v>
      </c>
      <c r="U59" s="2">
        <f t="shared" si="16"/>
        <v>69.323333333333338</v>
      </c>
      <c r="V59" s="2">
        <f t="shared" si="17"/>
        <v>52.839999999999989</v>
      </c>
    </row>
    <row r="60" spans="1:22" x14ac:dyDescent="0.2">
      <c r="A60">
        <v>45</v>
      </c>
      <c r="B60" t="s">
        <v>158</v>
      </c>
      <c r="C60" t="s">
        <v>159</v>
      </c>
      <c r="D60">
        <f t="shared" si="10"/>
        <v>70</v>
      </c>
      <c r="E60" s="2">
        <f t="shared" si="11"/>
        <v>7.7777777777777777</v>
      </c>
      <c r="F60">
        <v>75</v>
      </c>
      <c r="G60" s="2">
        <f t="shared" si="12"/>
        <v>9.1666666666666661</v>
      </c>
      <c r="H60">
        <v>239</v>
      </c>
      <c r="I60" s="2">
        <f t="shared" si="13"/>
        <v>5.791666666666667</v>
      </c>
      <c r="J60">
        <v>4.7</v>
      </c>
      <c r="K60">
        <v>136.1</v>
      </c>
      <c r="L60">
        <v>7.8</v>
      </c>
      <c r="M60">
        <v>1.8</v>
      </c>
      <c r="N60" t="s">
        <v>15</v>
      </c>
      <c r="O60" t="s">
        <v>160</v>
      </c>
      <c r="P60">
        <v>1.8</v>
      </c>
      <c r="Q60">
        <v>4.0999999999999996</v>
      </c>
      <c r="R60">
        <v>0</v>
      </c>
      <c r="S60" s="2">
        <f t="shared" si="14"/>
        <v>55.716111111111111</v>
      </c>
      <c r="T60" s="2">
        <f t="shared" si="15"/>
        <v>52.13805555555556</v>
      </c>
      <c r="U60" s="2">
        <f t="shared" si="16"/>
        <v>48.696666666666665</v>
      </c>
      <c r="V60" s="2">
        <f t="shared" si="17"/>
        <v>40.824999999999996</v>
      </c>
    </row>
    <row r="61" spans="1:22" x14ac:dyDescent="0.2">
      <c r="A61">
        <v>46</v>
      </c>
      <c r="B61" t="s">
        <v>161</v>
      </c>
      <c r="C61" t="s">
        <v>162</v>
      </c>
      <c r="D61">
        <f t="shared" si="10"/>
        <v>78</v>
      </c>
      <c r="E61" s="2">
        <f t="shared" si="11"/>
        <v>10</v>
      </c>
      <c r="F61">
        <v>71.5</v>
      </c>
      <c r="G61" s="2">
        <f t="shared" si="12"/>
        <v>6.25</v>
      </c>
      <c r="H61">
        <v>178</v>
      </c>
      <c r="I61" s="2">
        <f t="shared" si="13"/>
        <v>3.25</v>
      </c>
      <c r="J61">
        <v>1.3</v>
      </c>
      <c r="K61">
        <v>116.3</v>
      </c>
      <c r="L61">
        <v>0.9</v>
      </c>
      <c r="M61">
        <v>1</v>
      </c>
      <c r="N61" t="s">
        <v>80</v>
      </c>
      <c r="O61" t="s">
        <v>163</v>
      </c>
      <c r="P61">
        <v>1.8</v>
      </c>
      <c r="Q61">
        <v>1.9</v>
      </c>
      <c r="R61">
        <v>0</v>
      </c>
      <c r="S61" s="2">
        <f t="shared" si="14"/>
        <v>32.39</v>
      </c>
      <c r="T61" s="2">
        <f t="shared" si="15"/>
        <v>28.635000000000005</v>
      </c>
      <c r="U61" s="2">
        <f t="shared" si="16"/>
        <v>23.775000000000002</v>
      </c>
      <c r="V61" s="2">
        <f t="shared" si="17"/>
        <v>18.599999999999994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Riley</dc:creator>
  <cp:lastModifiedBy>Stephen Riley</cp:lastModifiedBy>
  <dcterms:created xsi:type="dcterms:W3CDTF">2021-11-01T02:47:48Z</dcterms:created>
  <dcterms:modified xsi:type="dcterms:W3CDTF">2021-11-01T04:30:03Z</dcterms:modified>
</cp:coreProperties>
</file>